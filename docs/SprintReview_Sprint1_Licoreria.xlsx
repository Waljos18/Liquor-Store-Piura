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909840E-2312-404A-A1A1-74F547D6EED6}" xr6:coauthVersionLast="47" xr6:coauthVersionMax="47" xr10:uidLastSave="{00000000-0000-0000-0000-000000000000}"/>
  <bookViews>
    <workbookView minimized="1" xWindow="2196" yWindow="2196" windowWidth="11280" windowHeight="7596" activeTab="5" xr2:uid="{00000000-000D-0000-FFFF-FFFF00000000}"/>
  </bookViews>
  <sheets>
    <sheet name="Portada" sheetId="1" r:id="rId1"/>
    <sheet name="Backlog Sprint 1" sheetId="2" r:id="rId2"/>
    <sheet name="Endpoints REST" sheetId="3" r:id="rId3"/>
    <sheet name="Base de Datos" sheetId="4" r:id="rId4"/>
    <sheet name="Métricas y Demo" sheetId="5" r:id="rId5"/>
    <sheet name="DoD e Impedimen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<sst xmlns="http://schemas.openxmlformats.org/spreadsheetml/2006/main" count="401" uniqueCount="277">
  <si>
    <t>LICORERÍA CHILALO — PIURA</t>
  </si>
  <si>
    <t>Sprint Review — Sprint 1: Autenticación y Catálogos</t>
  </si>
  <si>
    <t>Sprint</t>
  </si>
  <si>
    <t>Sprint 1 — Autenticación y Catálogos</t>
  </si>
  <si>
    <t>Período</t>
  </si>
  <si>
    <t>Metodología</t>
  </si>
  <si>
    <t>Scrum</t>
  </si>
  <si>
    <t>Tech Lead</t>
  </si>
  <si>
    <t>Hector Bravo</t>
  </si>
  <si>
    <t>Equipo</t>
  </si>
  <si>
    <t>Backend Dev · Frontend Dev · Android Dev</t>
  </si>
  <si>
    <t>Story Points</t>
  </si>
  <si>
    <t>37 SP completados / 37 SP planificados</t>
  </si>
  <si>
    <t>Estado</t>
  </si>
  <si>
    <t>✔  SPRINT COMPLETADO AL 100%</t>
  </si>
  <si>
    <t>Stack</t>
  </si>
  <si>
    <t>Spring Boot 3.2.5 · React 18 · PostgreSQL 15</t>
  </si>
  <si>
    <t>Documento</t>
  </si>
  <si>
    <t>Sprint Review — Revisión con Stakeholder</t>
  </si>
  <si>
    <t>Sistema POS / ERP — Licorería Chilalo, Piura · 2025</t>
  </si>
  <si>
    <t>SPRINT 1 — Product Backlog Items</t>
  </si>
  <si>
    <t>ID</t>
  </si>
  <si>
    <t>Historia de Usuario</t>
  </si>
  <si>
    <t>SP</t>
  </si>
  <si>
    <t>Prioridad</t>
  </si>
  <si>
    <t>Criterios de Aceptación (resumen)</t>
  </si>
  <si>
    <t>Responsable</t>
  </si>
  <si>
    <t>Demo</t>
  </si>
  <si>
    <t>US-1.1</t>
  </si>
  <si>
    <t>Autenticación JWT
Como usuario quiero login seguro
según mi rol</t>
  </si>
  <si>
    <t>Alta</t>
  </si>
  <si>
    <t>Backend Dev</t>
  </si>
  <si>
    <t>US-1.2</t>
  </si>
  <si>
    <t>Gestión de Productos
Como admin quiero CRUD de productos
con stock e importación CSV</t>
  </si>
  <si>
    <t>Backend + Frontend Dev</t>
  </si>
  <si>
    <t>US-1.3</t>
  </si>
  <si>
    <t>Gestión de Categorías
Como admin quiero organizar
productos por categoría</t>
  </si>
  <si>
    <t>US-1.4</t>
  </si>
  <si>
    <t>Gestión de Clientes
Como vendedor quiero registrar clientes
y sus puntos de fidelización</t>
  </si>
  <si>
    <t>US-1.5</t>
  </si>
  <si>
    <t>Gestión de Proveedores
Como admin quiero registrar proveedores
para vincularlos a compras</t>
  </si>
  <si>
    <t>Media</t>
  </si>
  <si>
    <t>• CRUD con RUC único
• Eliminación bloqueada si tiene compras asociadas
• Búsqueda paginada</t>
  </si>
  <si>
    <t>US-1.6</t>
  </si>
  <si>
    <t>Frontend: Login + Layout Base
Como usuario quiero una interfaz
de acceso y navegación</t>
  </si>
  <si>
    <t>Frontend Dev</t>
  </si>
  <si>
    <t>TOTAL STORY POINTS</t>
  </si>
  <si>
    <t>SPRINT 1 — Endpoints REST Entregados (31 endpoints)</t>
  </si>
  <si>
    <t>#</t>
  </si>
  <si>
    <t>Método</t>
  </si>
  <si>
    <t>Endpoint</t>
  </si>
  <si>
    <t>Descripción</t>
  </si>
  <si>
    <t>Rol</t>
  </si>
  <si>
    <t>── AUTENTICACIÓN (/api/v1/auth) ──</t>
  </si>
  <si>
    <t>POST</t>
  </si>
  <si>
    <t>/api/v1/auth/login</t>
  </si>
  <si>
    <t>Login con username/password → access_token + refresh_token</t>
  </si>
  <si>
    <t>Público</t>
  </si>
  <si>
    <t>/api/v1/auth/refresh</t>
  </si>
  <si>
    <t>Renueva access_token usando refresh_token</t>
  </si>
  <si>
    <t>/api/v1/auth/logout</t>
  </si>
  <si>
    <t>Invalida refresh_token del usuario</t>
  </si>
  <si>
    <t>── PRODUCTOS (/api/v1/productos) ──</t>
  </si>
  <si>
    <t>GET</t>
  </si>
  <si>
    <t>/api/v1/productos</t>
  </si>
  <si>
    <t>Listar con paginación, búsqueda, filtro categoría/stock</t>
  </si>
  <si>
    <t>Auth</t>
  </si>
  <si>
    <t>/api/v1/productos/{id}</t>
  </si>
  <si>
    <t>Obtener producto por ID</t>
  </si>
  <si>
    <t>/api/v1/productos/buscar</t>
  </si>
  <si>
    <t>Búsqueda rápida para POS (por código o nombre)</t>
  </si>
  <si>
    <t>/api/v1/productos/sin-categoria</t>
  </si>
  <si>
    <t>Listar productos sin categoría asignada</t>
  </si>
  <si>
    <t>Crear producto nuevo</t>
  </si>
  <si>
    <t>ADMIN</t>
  </si>
  <si>
    <t>PUT</t>
  </si>
  <si>
    <t>Actualizar producto existente</t>
  </si>
  <si>
    <t>DELETE</t>
  </si>
  <si>
    <t>Eliminación lógica (activo=false) por ID</t>
  </si>
  <si>
    <t>/api/v1/productos/by-codigo/{codigo}</t>
  </si>
  <si>
    <t>Eliminación lógica por código de barras</t>
  </si>
  <si>
    <t>/api/v1/productos/bulk-delete</t>
  </si>
  <si>
    <t>Eliminación masiva de múltiples productos</t>
  </si>
  <si>
    <t>/api/v1/productos/importar</t>
  </si>
  <si>
    <t>Importar productos desde archivo CSV (multipart)</t>
  </si>
  <si>
    <t>/api/v1/productos/importar/texto</t>
  </si>
  <si>
    <t>Importar productos desde texto CSV</t>
  </si>
  <si>
    <t>── CATEGORÍAS (/api/v1/categorias) ──</t>
  </si>
  <si>
    <t>/api/v1/categorias</t>
  </si>
  <si>
    <t>Listar categorías (param: soloActivas=true)</t>
  </si>
  <si>
    <t>/api/v1/categorias/{id}</t>
  </si>
  <si>
    <t>Obtener categoría por ID</t>
  </si>
  <si>
    <t>Crear nueva categoría</t>
  </si>
  <si>
    <t>Actualizar categoría existente</t>
  </si>
  <si>
    <t>Eliminar categoría por ID</t>
  </si>
  <si>
    <t>/api/v1/categorias/by-nombre</t>
  </si>
  <si>
    <t>Eliminar categoría por nombre (case-insensitive)</t>
  </si>
  <si>
    <t>── CLIENTES (/api/v1/clientes) ──</t>
  </si>
  <si>
    <t>/api/v1/clientes</t>
  </si>
  <si>
    <t>Listar con búsqueda y paginación</t>
  </si>
  <si>
    <t>/api/v1/clientes/{id}</t>
  </si>
  <si>
    <t>Obtener cliente por ID</t>
  </si>
  <si>
    <t>/api/v1/clientes/documento/{numeroDocumento}</t>
  </si>
  <si>
    <t>Buscar cliente por número de documento (para POS)</t>
  </si>
  <si>
    <t>Registrar nuevo cliente</t>
  </si>
  <si>
    <t>Actualizar datos de cliente</t>
  </si>
  <si>
    <t>Eliminar cliente</t>
  </si>
  <si>
    <t>PATCH</t>
  </si>
  <si>
    <t>/api/v1/clientes/{id}/puntos</t>
  </si>
  <si>
    <t>Ajustar puntos fidelización (SUMAR/RESTAR + motivo)</t>
  </si>
  <si>
    <t>── PROVEEDORES (/api/v1/proveedores) ──</t>
  </si>
  <si>
    <t>/api/v1/proveedores</t>
  </si>
  <si>
    <t>Listar proveedores con búsqueda y paginación</t>
  </si>
  <si>
    <t>/api/v1/proveedores/{id}</t>
  </si>
  <si>
    <t>Obtener proveedor por ID</t>
  </si>
  <si>
    <t>Registrar nuevo proveedor</t>
  </si>
  <si>
    <t>Actualizar datos de proveedor</t>
  </si>
  <si>
    <t>Eliminar (solo si sin compras asociadas)</t>
  </si>
  <si>
    <t>TOTAL ENDPOINTS ENTREGADOS</t>
  </si>
  <si>
    <t>31 endpoints  ✔</t>
  </si>
  <si>
    <t>SPRINT 1 — Migraciones Flyway &amp; Esquema de Base de Datos</t>
  </si>
  <si>
    <t>MIGRACIONES FLYWAY (V1 — V5)</t>
  </si>
  <si>
    <t>Archivo</t>
  </si>
  <si>
    <t>Tablas afectadas</t>
  </si>
  <si>
    <t>Notas</t>
  </si>
  <si>
    <t>V1__Initial_schema.sql</t>
  </si>
  <si>
    <t>Schema inicial completo</t>
  </si>
  <si>
    <t>15 tablas creadas</t>
  </si>
  <si>
    <t>usuarios, categorias, productos, clientes, ventas, detalle_ventas, comprobantes, proveedores, compras, detalle_compras, movimientos_inventario, promociones, packs y más</t>
  </si>
  <si>
    <t>V2__Triggers.sql</t>
  </si>
  <si>
    <t>Triggers automáticos de BD</t>
  </si>
  <si>
    <t>ventas, detalle_ventas, movimientos_inventario</t>
  </si>
  <si>
    <t>Auto-genera número venta (VENT-YYYYMMDD-####). Actualiza stock en venta/compra. Crea movimiento SALIDA/ENTRADA</t>
  </si>
  <si>
    <t>V3__Seed_data.sql</t>
  </si>
  <si>
    <t>Datos iniciales de prueba</t>
  </si>
  <si>
    <t>categorias</t>
  </si>
  <si>
    <t>8 categorías: Cervezas, Vinos, Licores, Whiskies, Ron, Pisco, Vodka, Snacks. Usuario admin vía DataInitializer (BCrypt)</t>
  </si>
  <si>
    <t>V4__Detalle_venta_pack.sql</t>
  </si>
  <si>
    <t>Soporte de packs en ventas</t>
  </si>
  <si>
    <t>detalle_ventas, packs, pack_productos</t>
  </si>
  <si>
    <t>Agrega referencia a pack en línea de detalle de venta</t>
  </si>
  <si>
    <t>V5__Forma_pago_Yape_Plin.sql</t>
  </si>
  <si>
    <t>Nuevos métodos de pago + pagos mixtos</t>
  </si>
  <si>
    <t>ventas, venta_pagos (nueva)</t>
  </si>
  <si>
    <t>Extiende enum forma_pago: agrega YAPE, PLIN. Tabla venta_pagos para split de pago MIXTO (metodo_pago, monto, referencia)</t>
  </si>
  <si>
    <t>ENTIDADES PRINCIPALES (Campos destacados)</t>
  </si>
  <si>
    <t>Entidad / Tabla</t>
  </si>
  <si>
    <t>Campos clave</t>
  </si>
  <si>
    <t>Restricciones</t>
  </si>
  <si>
    <t>usuarios
(tabla: usuarios)</t>
  </si>
  <si>
    <t>id · username · email · password · nombre · rol · activo · fechaCreacion</t>
  </si>
  <si>
    <t>username UNIQUE · email UNIQUE · activo DEFAULT TRUE</t>
  </si>
  <si>
    <t>Roles: ADMIN / VENDEDOR. Password BCrypt. Timestamps @PrePersist/@PreUpdate</t>
  </si>
  <si>
    <t>Producto
(tabla: productos)</t>
  </si>
  <si>
    <t>id · codigoBarras · nombre · marca · categoria_id · precioCompra · precioVenta · stockActual · stockMinimo · stockMaximo · fechaVencimiento · activo</t>
  </si>
  <si>
    <t>codigoBarras UNIQUE · precioVenta NOT NULL</t>
  </si>
  <si>
    <t>Eliminación lógica (activo). Stock actualizado por triggers. FK → categorias</t>
  </si>
  <si>
    <t>Categoria
(tabla: categorias)</t>
  </si>
  <si>
    <t>id · nombre · descripcion · activa · fechaCreacion</t>
  </si>
  <si>
    <t>nombre UNIQUE NOT NULL</t>
  </si>
  <si>
    <t>8 categorías en seed. Auto-creación en importación CSV</t>
  </si>
  <si>
    <t>Cliente
(tabla: clientes)</t>
  </si>
  <si>
    <t>id · tipoDocumento · numeroDocumento · nombre · telefono · email · puntosFidelizacion</t>
  </si>
  <si>
    <t>numeroDocumento UNIQUE · tipoDocumento: DNI/RUC/CE</t>
  </si>
  <si>
    <t>Puntos ajustables manualmente. FK en ventas para asociar compra a cliente</t>
  </si>
  <si>
    <t>Proveedor
(tabla: proveedores)</t>
  </si>
  <si>
    <t>id · razonSocial · ruc · direccion · telefono · email · activo</t>
  </si>
  <si>
    <t>ruc UNIQUE</t>
  </si>
  <si>
    <t>Eliminación bloqueada si tiene compras. OneToMany → compras</t>
  </si>
  <si>
    <t>SPRINT 1 — Métricas, Demo y Feedback</t>
  </si>
  <si>
    <t>MÉTRICAS DEL SPRINT</t>
  </si>
  <si>
    <t>Métrica</t>
  </si>
  <si>
    <t>Valor</t>
  </si>
  <si>
    <t>Story Points planificados</t>
  </si>
  <si>
    <t>37 SP</t>
  </si>
  <si>
    <t>Endpoints REST entregados</t>
  </si>
  <si>
    <t>31</t>
  </si>
  <si>
    <t>Story Points completados</t>
  </si>
  <si>
    <t>37 SP  ✔</t>
  </si>
  <si>
    <t>Tablas de BD creadas</t>
  </si>
  <si>
    <t>15 tablas</t>
  </si>
  <si>
    <t>Velocidad del equipo</t>
  </si>
  <si>
    <t>100 %</t>
  </si>
  <si>
    <t>Migraciones Flyway</t>
  </si>
  <si>
    <t>V1 → V5</t>
  </si>
  <si>
    <t>Bugs críticos en demo</t>
  </si>
  <si>
    <t>0</t>
  </si>
  <si>
    <t>Índices de BD creados</t>
  </si>
  <si>
    <t>20+ índices</t>
  </si>
  <si>
    <t>Deuda técnica</t>
  </si>
  <si>
    <t>Refresh tokens en memoria
(→ Redis en producción)</t>
  </si>
  <si>
    <t>Cobertura de criterios</t>
  </si>
  <si>
    <t>DEMO — Funcionalidades mostradas al Stakeholder</t>
  </si>
  <si>
    <t>Funcionalidad demostrada</t>
  </si>
  <si>
    <t>Resultado</t>
  </si>
  <si>
    <t>1. Login con admin / Admin123! → token visible en DevTools</t>
  </si>
  <si>
    <t>Acceso exitoso, token JWT retornado</t>
  </si>
  <si>
    <t>✔ OK</t>
  </si>
  <si>
    <t>2. Búsqueda de productos en tiempo real + filtro por categoría 'Whiskies'</t>
  </si>
  <si>
    <t>Resultados filtrados correctamente</t>
  </si>
  <si>
    <t>3. Edición de precio de producto + eliminación lógica</t>
  </si>
  <si>
    <t>Precio actualizado; producto activo=false (no eliminado)</t>
  </si>
  <si>
    <t>4. Importación CSV: 15 productos → 13 creados, 2 omitidos (código duplicado)</t>
  </si>
  <si>
    <t>Resultado detallado mostrado en modal</t>
  </si>
  <si>
    <t>5. Alta de cliente con DNI + ajuste de puntos (+50, motivo: 'Promoción apertura')</t>
  </si>
  <si>
    <t>Cliente creado; puntos actualizados en tabla</t>
  </si>
  <si>
    <t>6. Creación de categoría 'Energizantes'</t>
  </si>
  <si>
    <t>Categoría disponible inmediatamente para productos</t>
  </si>
  <si>
    <t>7. Alta de proveedor con RUC único</t>
  </si>
  <si>
    <t>Proveedor registrado correctamente</t>
  </si>
  <si>
    <t>8. Swagger UI: revisión de 31 endpoints disponibles</t>
  </si>
  <si>
    <t>Documentación completa y funcional</t>
  </si>
  <si>
    <t>9. Toggle Dark Mode en el header</t>
  </si>
  <si>
    <t>Tema cambiado correctamente; persistido en localStorage</t>
  </si>
  <si>
    <t>FEEDBACK DEL STAKEHOLDER</t>
  </si>
  <si>
    <t>Observación del Stakeholder</t>
  </si>
  <si>
    <t>Acción tomada</t>
  </si>
  <si>
    <t>Sprint destino</t>
  </si>
  <si>
    <t>Solicita búsqueda de productos también por marca</t>
  </si>
  <si>
    <t>Agregar al Product Backlog</t>
  </si>
  <si>
    <t>Sprint 3 (baja prioridad)</t>
  </si>
  <si>
    <t>Confirma las 8 categorías base; solicita agregar 'Cigarros'</t>
  </si>
  <si>
    <t>Historia creada → Migración V10</t>
  </si>
  <si>
    <t>Sprint 4</t>
  </si>
  <si>
    <t>Consulta si CSV soporta precios con 'S/.'</t>
  </si>
  <si>
    <t>Ya funciona — se eliminan símbolos automáticamente (demostrado)</t>
  </si>
  <si>
    <t>—  Sin acción</t>
  </si>
  <si>
    <t>SPRINT 1 — Definition of Done &amp; Impedimentos</t>
  </si>
  <si>
    <t>DEFINITION OF DONE — Verificación</t>
  </si>
  <si>
    <t>Criterio</t>
  </si>
  <si>
    <t>Evidencia</t>
  </si>
  <si>
    <t>Código revisado por el Tech Lead</t>
  </si>
  <si>
    <t>✔ CUMPLIDO</t>
  </si>
  <si>
    <t>Code review en reunión de sprint</t>
  </si>
  <si>
    <t>Endpoints probados en Postman (colección incluida)</t>
  </si>
  <si>
    <t>LICORERIA_BACKEND.postman_collection.json en repo</t>
  </si>
  <si>
    <t>Migraciones Flyway V1-V5 ejecutadas sin errores</t>
  </si>
  <si>
    <t>Flyway schema_version con 5 entradas SUCCESS</t>
  </si>
  <si>
    <t>Frontend compilado sin errores TypeScript (npm run build)</t>
  </si>
  <si>
    <t>Build exitoso — 0 errores TS, 0 warnings ESLint</t>
  </si>
  <si>
    <t>Rutas protegidas: sin token → 401 Unauthorized</t>
  </si>
  <si>
    <t>Verificado con Postman y DevTools del navegador</t>
  </si>
  <si>
    <t>Datos de prueba cargados en BD local (seed + categorías)</t>
  </si>
  <si>
    <t>V3 seed ejecutado, 8 categorías visibles en tabla</t>
  </si>
  <si>
    <t>Swagger actualizado con nuevos endpoints</t>
  </si>
  <si>
    <t>http://localhost:8080/swagger-ui.html — 31 endpoints</t>
  </si>
  <si>
    <t>Pantallas frontend funcionales sin errores de consola</t>
  </si>
  <si>
    <t>Login, Productos, Clientes revisados en Chrome DevTools</t>
  </si>
  <si>
    <t>IMPEDIMENTOS Y RESOLUCIONES</t>
  </si>
  <si>
    <t>Impedimento encontrado</t>
  </si>
  <si>
    <t>Severidad</t>
  </si>
  <si>
    <t>Resolución aplicada</t>
  </si>
  <si>
    <t>Configuración CORS bloqueaba requests del frontend (puerto 5173)</t>
  </si>
  <si>
    <t>Se agregaron localhost:3000, localhost:5173, localhost:8080 a cors.allowed-origins en application.properties</t>
  </si>
  <si>
    <t>✔ Resuelto</t>
  </si>
  <si>
    <t>ddl-auto=validate rechazaba arranque si entidades diferían de BD</t>
  </si>
  <si>
    <t>Se estandarizó uso estricto de Flyway — ninguna modificación de entidad sin su migración correspondiente</t>
  </si>
  <si>
    <t>Refresh tokens almacenados en memoria (ConcurrentHashMap) — no escala</t>
  </si>
  <si>
    <t>Baja (Sprint 1)</t>
  </si>
  <si>
    <t>Documentado como deuda técnica. Pendiente migrar a Redis en sprint de hardening/producción</t>
  </si>
  <si>
    <t>⚠ Deuda técnica</t>
  </si>
  <si>
    <t>PRÓXIMO SPRINT — Preview Sprint 2: Punto de Venta</t>
  </si>
  <si>
    <t>Objetivo Sprint 2</t>
  </si>
  <si>
    <t>Implementar POS completo: carrito, descuentos, formas de pago múltiples y comprobantes electrónicos SUNAT sandbox</t>
  </si>
  <si>
    <t>Ítems de mayor prioridad</t>
  </si>
  <si>
    <t>VentaService (lógica de carrito y cierre) · Integración SUNAT OSE (boleta/factura) · POS Frontend completo · POS Android</t>
  </si>
  <si>
    <t>Período estimado</t>
  </si>
  <si>
    <t>04-Nov-2025  →  28-Nov-2025  (3 semanas · ~47 SP estimados)</t>
  </si>
  <si>
    <t>12-Ene-2026  →  26-Ene-2026  (2 semanas)</t>
  </si>
  <si>
    <t>Completado</t>
  </si>
  <si>
    <t xml:space="preserve"> Completado</t>
  </si>
  <si>
    <t xml:space="preserve"> Demostrado</t>
  </si>
  <si>
    <t>• CRUD con tipos: DNI / RUC / CE (únicos)
• Búsqueda por nombre o documento
• Consulta por número de documento (para POS)
• Modal de ajuste: SUMAR/RESTAR + motivo</t>
  </si>
  <si>
    <t>• CRUD completo + paginación 
• Búsqueda por nombre + filtros
• El producto aparece en la lista tras guardarse
• Búsqueda rápida para POS (/buscar)
• Campos: precio, stock mín/máx, vencimiento</t>
  </si>
  <si>
    <t xml:space="preserve">• Página Login con validación y manejo de errores
• Sidebar con navegación 
• Header: dark/light mode + botón Salir
</t>
  </si>
  <si>
    <t>• CRUD completo con filtro soloActivas
• +8 categorías: Cervezas, Vinos, Licores,
  Whiskies, Ron, Pisco, Vodka, Snacks
• Auto-creación al importar CSV</t>
  </si>
  <si>
    <t xml:space="preserve">• Login con credenciales válidas redirige al Dashboard
• Credenciales incorrectas muestran mensaje de error 
• Existe botón de mostrar/ocultar contraseña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</si>
</sst>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6"/>
      <color rgb="FFFFFFFF"/>
      <name val="Calibri"/>
    </font>
    <font>
      <b/>
      <sz val="10"/>
      <color rgb="FF000000"/>
      <name val="Calibri"/>
    </font>
    <font>
      <sz val="10"/>
      <color rgb="FF212121"/>
      <name val="Calibri"/>
    </font>
    <font>
      <b/>
      <sz val="10"/>
      <color rgb="FF2E7D32"/>
      <name val="Calibri"/>
    </font>
    <font>
      <i/>
      <sz val="9"/>
      <color rgb="FF757575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565C0"/>
      <name val="Calibri"/>
    </font>
    <font>
      <b/>
      <sz val="10"/>
      <color rgb="FF212121"/>
      <name val="Calibri"/>
    </font>
    <font>
      <b/>
      <sz val="10"/>
      <color rgb="FFC62828"/>
      <name val="Calibri"/>
    </font>
    <font>
      <b/>
      <sz val="10"/>
      <color rgb="FFE65100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color rgb="FF2E7D32"/>
      <name val="Calibri"/>
    </font>
    <font>
      <b/>
      <sz val="10"/>
      <color rgb="FF0D47A1"/>
      <name val="Calibri"/>
    </font>
    <font>
      <b/>
      <sz val="10"/>
      <color rgb="FF1B5E20"/>
      <name val="Calibri"/>
    </font>
    <font>
      <b/>
      <sz val="10"/>
      <color rgb="FFB71C1C"/>
      <name val="Calibri"/>
    </font>
    <font>
      <b/>
      <sz val="10"/>
      <color rgb="FF6A1B9A"/>
      <name val="Calibri"/>
    </font>
    <font>
      <b/>
      <sz val="12"/>
      <color rgb="FF2E7D32"/>
      <name val="Calibri"/>
    </font>
    <font>
      <b/>
      <sz val="12"/>
      <color rgb="FFFFFFFF"/>
      <name val="Calibri"/>
    </font>
    <font>
      <b/>
      <sz val="10"/>
      <color rgb="FFF57F17"/>
      <name val="Calibri"/>
    </font>
    <font>
      <sz val="10"/>
      <color rgb="FF000000"/>
      <name val="Calibri"/>
    </font>
    <font>
      <u/>
      <sz val="11"/>
      <color theme="1"/>
      <name val="Calibri"/>
      <family val="2"/>
      <scheme val="minor"/>
    </font>
    <font>
      <b/>
      <sz val="10"/>
      <color rgb="FF2E7D32"/>
      <name val="Calibri"/>
      <family val="2"/>
    </font>
    <font>
      <sz val="10"/>
      <color rgb="FF21212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757575"/>
      </left>
      <right style="medium">
        <color rgb="FF757575"/>
      </right>
      <top style="medium">
        <color rgb="FF757575"/>
      </top>
      <bottom style="medium">
        <color rgb="FF75757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4" fillId="0" borderId="0" xfId="0" applyFont="1"/>
    <xf numFmtId="0" fontId="2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zoomScale="130" zoomScaleNormal="130" workbookViewId="0">
      <selection activeCell="E17" sqref="E17"/>
    </sheetView>
  </sheetViews>
  <sheetFormatPr baseColWidth="10" defaultColWidth="8.88671875" defaultRowHeight="14.4" x14ac:dyDescent="0.3"/>
  <cols>
    <col min="1" max="1" width="4" customWidth="1"/>
    <col min="2" max="3" width="35" customWidth="1"/>
    <col min="4" max="4" width="25" customWidth="1"/>
  </cols>
  <sheetData>
    <row r="1" spans="1:7" ht="30" customHeight="1" x14ac:dyDescent="0.3">
      <c r="A1" s="41" t="s">
        <v>0</v>
      </c>
      <c r="B1" s="40"/>
      <c r="C1" s="40"/>
      <c r="D1" s="40"/>
    </row>
    <row r="2" spans="1:7" ht="25.05" customHeight="1" x14ac:dyDescent="0.3">
      <c r="A2" s="40"/>
      <c r="B2" s="40"/>
      <c r="C2" s="40"/>
      <c r="D2" s="40"/>
    </row>
    <row r="3" spans="1:7" ht="19.95" customHeight="1" x14ac:dyDescent="0.3">
      <c r="A3" s="40"/>
      <c r="B3" s="40"/>
      <c r="C3" s="40"/>
      <c r="D3" s="40"/>
    </row>
    <row r="4" spans="1:7" ht="28.05" customHeight="1" x14ac:dyDescent="0.3">
      <c r="A4" s="42" t="s">
        <v>1</v>
      </c>
      <c r="B4" s="40"/>
      <c r="C4" s="40"/>
      <c r="D4" s="40"/>
    </row>
    <row r="5" spans="1:7" ht="19.95" customHeight="1" x14ac:dyDescent="0.3">
      <c r="A5" s="40"/>
      <c r="B5" s="40"/>
      <c r="C5" s="40"/>
      <c r="D5" s="40"/>
    </row>
    <row r="6" spans="1:7" ht="10.050000000000001" customHeight="1" x14ac:dyDescent="0.3"/>
    <row r="7" spans="1:7" ht="19.95" customHeight="1" x14ac:dyDescent="0.3">
      <c r="B7" s="38" t="s">
        <v>2</v>
      </c>
      <c r="C7" s="39" t="s">
        <v>3</v>
      </c>
      <c r="D7" s="40"/>
      <c r="G7" s="36"/>
    </row>
    <row r="8" spans="1:7" ht="19.95" customHeight="1" x14ac:dyDescent="0.3">
      <c r="B8" s="38" t="s">
        <v>4</v>
      </c>
      <c r="C8" s="39" t="s">
        <v>268</v>
      </c>
      <c r="D8" s="40"/>
    </row>
    <row r="9" spans="1:7" ht="19.95" customHeight="1" x14ac:dyDescent="0.3">
      <c r="B9" s="38" t="s">
        <v>5</v>
      </c>
      <c r="C9" s="39" t="s">
        <v>6</v>
      </c>
      <c r="D9" s="40"/>
    </row>
    <row r="10" spans="1:7" ht="19.95" customHeight="1" x14ac:dyDescent="0.3">
      <c r="B10" s="38" t="s">
        <v>7</v>
      </c>
      <c r="C10" s="39" t="s">
        <v>8</v>
      </c>
      <c r="D10" s="40"/>
    </row>
    <row r="11" spans="1:7" ht="19.95" customHeight="1" x14ac:dyDescent="0.3">
      <c r="B11" s="38" t="s">
        <v>9</v>
      </c>
      <c r="C11" s="39" t="s">
        <v>10</v>
      </c>
      <c r="D11" s="40"/>
    </row>
    <row r="12" spans="1:7" ht="19.95" customHeight="1" x14ac:dyDescent="0.3">
      <c r="B12" s="38" t="s">
        <v>11</v>
      </c>
      <c r="C12" s="39" t="s">
        <v>12</v>
      </c>
      <c r="D12" s="40"/>
    </row>
    <row r="13" spans="1:7" ht="19.95" customHeight="1" x14ac:dyDescent="0.3">
      <c r="B13" s="38" t="s">
        <v>13</v>
      </c>
      <c r="C13" s="44" t="s">
        <v>14</v>
      </c>
      <c r="D13" s="40"/>
    </row>
    <row r="14" spans="1:7" ht="19.95" customHeight="1" x14ac:dyDescent="0.3">
      <c r="B14" s="38" t="s">
        <v>15</v>
      </c>
      <c r="C14" s="39" t="s">
        <v>16</v>
      </c>
      <c r="D14" s="40"/>
    </row>
    <row r="15" spans="1:7" ht="19.95" customHeight="1" x14ac:dyDescent="0.3">
      <c r="B15" s="38" t="s">
        <v>17</v>
      </c>
      <c r="C15" s="39" t="s">
        <v>18</v>
      </c>
      <c r="D15" s="40"/>
    </row>
    <row r="16" spans="1:7" ht="10.050000000000001" customHeight="1" x14ac:dyDescent="0.3"/>
    <row r="17" spans="2:4" x14ac:dyDescent="0.3">
      <c r="B17" s="43" t="s">
        <v>19</v>
      </c>
      <c r="C17" s="40"/>
      <c r="D17" s="40"/>
    </row>
  </sheetData>
  <mergeCells count="21">
    <mergeCell ref="C15:D15"/>
    <mergeCell ref="B15"/>
    <mergeCell ref="B17:D17"/>
    <mergeCell ref="C14:D14"/>
    <mergeCell ref="C10:D10"/>
    <mergeCell ref="B14"/>
    <mergeCell ref="B13"/>
    <mergeCell ref="C13:D13"/>
    <mergeCell ref="B7"/>
    <mergeCell ref="C9:D9"/>
    <mergeCell ref="C12:D12"/>
    <mergeCell ref="A1:D3"/>
    <mergeCell ref="B12"/>
    <mergeCell ref="C11:D11"/>
    <mergeCell ref="A4:D5"/>
    <mergeCell ref="B11"/>
    <mergeCell ref="C8:D8"/>
    <mergeCell ref="B8"/>
    <mergeCell ref="C7:D7"/>
    <mergeCell ref="B10"/>
    <mergeCell ref="B9"/>
  </mergeCell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showGridLines="0" zoomScale="130" zoomScaleNormal="130" workbookViewId="0">
      <selection activeCell="E5" sqref="E5"/>
    </sheetView>
  </sheetViews>
  <sheetFormatPr baseColWidth="10" defaultColWidth="8.88671875" defaultRowHeight="14.4" x14ac:dyDescent="0.3"/>
  <cols>
    <col min="1" max="1" width="5" customWidth="1"/>
    <col min="2" max="2" width="35" customWidth="1"/>
    <col min="3" max="4" width="12" customWidth="1"/>
    <col min="5" max="5" width="45" customWidth="1"/>
    <col min="6" max="6" width="12" customWidth="1"/>
    <col min="7" max="7" width="21.5546875" customWidth="1"/>
    <col min="8" max="8" width="18" customWidth="1"/>
  </cols>
  <sheetData>
    <row r="1" spans="1:11" ht="28.05" customHeight="1" x14ac:dyDescent="0.3">
      <c r="A1" s="45" t="s">
        <v>20</v>
      </c>
      <c r="B1" s="40"/>
      <c r="C1" s="40"/>
      <c r="D1" s="40"/>
      <c r="E1" s="40"/>
      <c r="F1" s="40"/>
      <c r="G1" s="40"/>
      <c r="H1" s="40"/>
    </row>
    <row r="2" spans="1:11" ht="15" customHeight="1" x14ac:dyDescent="0.3">
      <c r="A2" s="40"/>
      <c r="B2" s="40"/>
      <c r="C2" s="40"/>
      <c r="D2" s="40"/>
      <c r="E2" s="40"/>
      <c r="F2" s="40"/>
      <c r="G2" s="40"/>
      <c r="H2" s="40"/>
    </row>
    <row r="3" spans="1:11" ht="19.95" customHeight="1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13</v>
      </c>
      <c r="G3" s="3" t="s">
        <v>26</v>
      </c>
      <c r="H3" s="3" t="s">
        <v>27</v>
      </c>
    </row>
    <row r="4" spans="1:11" ht="85.05" customHeight="1" x14ac:dyDescent="0.3">
      <c r="A4" s="4" t="s">
        <v>28</v>
      </c>
      <c r="B4" s="5" t="s">
        <v>29</v>
      </c>
      <c r="C4" s="6">
        <v>8</v>
      </c>
      <c r="D4" s="7" t="s">
        <v>30</v>
      </c>
      <c r="E4" s="52" t="s">
        <v>276</v>
      </c>
      <c r="F4" s="37" t="s">
        <v>269</v>
      </c>
      <c r="G4" s="9" t="s">
        <v>31</v>
      </c>
      <c r="H4" s="37" t="s">
        <v>271</v>
      </c>
    </row>
    <row r="5" spans="1:11" ht="85.05" customHeight="1" x14ac:dyDescent="0.3">
      <c r="A5" s="10" t="s">
        <v>32</v>
      </c>
      <c r="B5" s="2" t="s">
        <v>33</v>
      </c>
      <c r="C5" s="11">
        <v>10</v>
      </c>
      <c r="D5" s="7" t="s">
        <v>30</v>
      </c>
      <c r="E5" s="2" t="s">
        <v>273</v>
      </c>
      <c r="F5" s="37" t="s">
        <v>270</v>
      </c>
      <c r="G5" s="12" t="s">
        <v>34</v>
      </c>
      <c r="H5" s="37" t="s">
        <v>271</v>
      </c>
    </row>
    <row r="6" spans="1:11" ht="85.05" customHeight="1" x14ac:dyDescent="0.3">
      <c r="A6" s="4" t="s">
        <v>35</v>
      </c>
      <c r="B6" s="5" t="s">
        <v>36</v>
      </c>
      <c r="C6" s="6">
        <v>5</v>
      </c>
      <c r="D6" s="7" t="s">
        <v>30</v>
      </c>
      <c r="E6" s="52" t="s">
        <v>275</v>
      </c>
      <c r="F6" s="37" t="s">
        <v>270</v>
      </c>
      <c r="G6" s="9" t="s">
        <v>34</v>
      </c>
      <c r="H6" s="37" t="s">
        <v>271</v>
      </c>
    </row>
    <row r="7" spans="1:11" ht="85.05" customHeight="1" x14ac:dyDescent="0.3">
      <c r="A7" s="10" t="s">
        <v>37</v>
      </c>
      <c r="B7" s="2" t="s">
        <v>38</v>
      </c>
      <c r="C7" s="11">
        <v>7</v>
      </c>
      <c r="D7" s="7" t="s">
        <v>30</v>
      </c>
      <c r="E7" s="2" t="s">
        <v>272</v>
      </c>
      <c r="F7" s="37" t="s">
        <v>270</v>
      </c>
      <c r="G7" s="12" t="s">
        <v>34</v>
      </c>
      <c r="H7" s="37" t="s">
        <v>271</v>
      </c>
    </row>
    <row r="8" spans="1:11" ht="85.05" customHeight="1" x14ac:dyDescent="0.3">
      <c r="A8" s="4" t="s">
        <v>39</v>
      </c>
      <c r="B8" s="5" t="s">
        <v>40</v>
      </c>
      <c r="C8" s="6">
        <v>5</v>
      </c>
      <c r="D8" s="13" t="s">
        <v>41</v>
      </c>
      <c r="E8" s="5" t="s">
        <v>42</v>
      </c>
      <c r="F8" s="37" t="s">
        <v>270</v>
      </c>
      <c r="G8" s="9" t="s">
        <v>34</v>
      </c>
      <c r="H8" s="37" t="s">
        <v>271</v>
      </c>
    </row>
    <row r="9" spans="1:11" ht="85.05" customHeight="1" x14ac:dyDescent="0.3">
      <c r="A9" s="10" t="s">
        <v>43</v>
      </c>
      <c r="B9" s="2" t="s">
        <v>44</v>
      </c>
      <c r="C9" s="11">
        <v>8</v>
      </c>
      <c r="D9" s="7" t="s">
        <v>30</v>
      </c>
      <c r="E9" s="53" t="s">
        <v>274</v>
      </c>
      <c r="F9" s="37" t="s">
        <v>270</v>
      </c>
      <c r="G9" s="12" t="s">
        <v>45</v>
      </c>
      <c r="H9" s="37" t="s">
        <v>271</v>
      </c>
      <c r="K9" s="36"/>
    </row>
    <row r="10" spans="1:11" ht="22.05" customHeight="1" x14ac:dyDescent="0.3">
      <c r="A10" s="47" t="s">
        <v>46</v>
      </c>
      <c r="B10" s="40"/>
      <c r="C10" s="14">
        <f>SUM(C4:C9)</f>
        <v>43</v>
      </c>
      <c r="D10" s="46"/>
      <c r="E10" s="40"/>
      <c r="F10" s="40"/>
      <c r="G10" s="40"/>
      <c r="H10" s="40"/>
    </row>
  </sheetData>
  <mergeCells count="3">
    <mergeCell ref="A1:H2"/>
    <mergeCell ref="D10:H10"/>
    <mergeCell ref="A10:B10"/>
  </mergeCells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showGridLines="0" workbookViewId="0">
      <selection sqref="A1:E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3" width="42" customWidth="1"/>
    <col min="4" max="4" width="40" customWidth="1"/>
    <col min="5" max="5" width="18" customWidth="1"/>
  </cols>
  <sheetData>
    <row r="1" spans="1:5" ht="28.05" customHeight="1" x14ac:dyDescent="0.3">
      <c r="A1" s="45" t="s">
        <v>47</v>
      </c>
      <c r="B1" s="40"/>
      <c r="C1" s="40"/>
      <c r="D1" s="40"/>
      <c r="E1" s="40"/>
    </row>
    <row r="2" spans="1:5" ht="13.95" customHeight="1" x14ac:dyDescent="0.3">
      <c r="A2" s="40"/>
      <c r="B2" s="40"/>
      <c r="C2" s="40"/>
      <c r="D2" s="40"/>
      <c r="E2" s="40"/>
    </row>
    <row r="3" spans="1:5" ht="19.95" customHeight="1" x14ac:dyDescent="0.3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</row>
    <row r="4" spans="1:5" ht="18" customHeight="1" x14ac:dyDescent="0.3">
      <c r="A4" s="48" t="s">
        <v>53</v>
      </c>
      <c r="B4" s="40"/>
      <c r="C4" s="40"/>
      <c r="D4" s="40"/>
      <c r="E4" s="40"/>
    </row>
    <row r="5" spans="1:5" ht="18" customHeight="1" x14ac:dyDescent="0.3">
      <c r="A5" s="11">
        <v>1</v>
      </c>
      <c r="B5" s="15" t="s">
        <v>54</v>
      </c>
      <c r="C5" s="16" t="s">
        <v>55</v>
      </c>
      <c r="D5" s="2" t="s">
        <v>56</v>
      </c>
      <c r="E5" s="17" t="s">
        <v>57</v>
      </c>
    </row>
    <row r="6" spans="1:5" ht="18" customHeight="1" x14ac:dyDescent="0.3">
      <c r="A6" s="6">
        <v>2</v>
      </c>
      <c r="B6" s="15" t="s">
        <v>54</v>
      </c>
      <c r="C6" s="18" t="s">
        <v>58</v>
      </c>
      <c r="D6" s="5" t="s">
        <v>59</v>
      </c>
      <c r="E6" s="17" t="s">
        <v>57</v>
      </c>
    </row>
    <row r="7" spans="1:5" ht="18" customHeight="1" x14ac:dyDescent="0.3">
      <c r="A7" s="11">
        <v>3</v>
      </c>
      <c r="B7" s="15" t="s">
        <v>54</v>
      </c>
      <c r="C7" s="16" t="s">
        <v>60</v>
      </c>
      <c r="D7" s="2" t="s">
        <v>61</v>
      </c>
      <c r="E7" s="17" t="s">
        <v>57</v>
      </c>
    </row>
    <row r="8" spans="1:5" ht="18" customHeight="1" x14ac:dyDescent="0.3">
      <c r="A8" s="48" t="s">
        <v>62</v>
      </c>
      <c r="B8" s="40"/>
      <c r="C8" s="40"/>
      <c r="D8" s="40"/>
      <c r="E8" s="40"/>
    </row>
    <row r="9" spans="1:5" ht="18" customHeight="1" x14ac:dyDescent="0.3">
      <c r="A9" s="6">
        <v>4</v>
      </c>
      <c r="B9" s="17" t="s">
        <v>63</v>
      </c>
      <c r="C9" s="18" t="s">
        <v>64</v>
      </c>
      <c r="D9" s="5" t="s">
        <v>65</v>
      </c>
      <c r="E9" s="19" t="s">
        <v>66</v>
      </c>
    </row>
    <row r="10" spans="1:5" ht="18" customHeight="1" x14ac:dyDescent="0.3">
      <c r="A10" s="11">
        <v>5</v>
      </c>
      <c r="B10" s="17" t="s">
        <v>63</v>
      </c>
      <c r="C10" s="16" t="s">
        <v>67</v>
      </c>
      <c r="D10" s="2" t="s">
        <v>68</v>
      </c>
      <c r="E10" s="19" t="s">
        <v>66</v>
      </c>
    </row>
    <row r="11" spans="1:5" ht="18" customHeight="1" x14ac:dyDescent="0.3">
      <c r="A11" s="6">
        <v>6</v>
      </c>
      <c r="B11" s="17" t="s">
        <v>63</v>
      </c>
      <c r="C11" s="18" t="s">
        <v>69</v>
      </c>
      <c r="D11" s="5" t="s">
        <v>70</v>
      </c>
      <c r="E11" s="19" t="s">
        <v>66</v>
      </c>
    </row>
    <row r="12" spans="1:5" ht="18" customHeight="1" x14ac:dyDescent="0.3">
      <c r="A12" s="11">
        <v>7</v>
      </c>
      <c r="B12" s="17" t="s">
        <v>63</v>
      </c>
      <c r="C12" s="16" t="s">
        <v>71</v>
      </c>
      <c r="D12" s="2" t="s">
        <v>72</v>
      </c>
      <c r="E12" s="19" t="s">
        <v>66</v>
      </c>
    </row>
    <row r="13" spans="1:5" ht="18" customHeight="1" x14ac:dyDescent="0.3">
      <c r="A13" s="6">
        <v>8</v>
      </c>
      <c r="B13" s="15" t="s">
        <v>54</v>
      </c>
      <c r="C13" s="18" t="s">
        <v>64</v>
      </c>
      <c r="D13" s="5" t="s">
        <v>73</v>
      </c>
      <c r="E13" s="7" t="s">
        <v>74</v>
      </c>
    </row>
    <row r="14" spans="1:5" ht="18" customHeight="1" x14ac:dyDescent="0.3">
      <c r="A14" s="11">
        <v>9</v>
      </c>
      <c r="B14" s="20" t="s">
        <v>75</v>
      </c>
      <c r="C14" s="16" t="s">
        <v>67</v>
      </c>
      <c r="D14" s="2" t="s">
        <v>76</v>
      </c>
      <c r="E14" s="7" t="s">
        <v>74</v>
      </c>
    </row>
    <row r="15" spans="1:5" ht="18" customHeight="1" x14ac:dyDescent="0.3">
      <c r="A15" s="6">
        <v>10</v>
      </c>
      <c r="B15" s="21" t="s">
        <v>77</v>
      </c>
      <c r="C15" s="18" t="s">
        <v>67</v>
      </c>
      <c r="D15" s="5" t="s">
        <v>78</v>
      </c>
      <c r="E15" s="7" t="s">
        <v>74</v>
      </c>
    </row>
    <row r="16" spans="1:5" ht="18" customHeight="1" x14ac:dyDescent="0.3">
      <c r="A16" s="11">
        <v>11</v>
      </c>
      <c r="B16" s="21" t="s">
        <v>77</v>
      </c>
      <c r="C16" s="16" t="s">
        <v>79</v>
      </c>
      <c r="D16" s="2" t="s">
        <v>80</v>
      </c>
      <c r="E16" s="7" t="s">
        <v>74</v>
      </c>
    </row>
    <row r="17" spans="1:5" ht="18" customHeight="1" x14ac:dyDescent="0.3">
      <c r="A17" s="6">
        <v>12</v>
      </c>
      <c r="B17" s="15" t="s">
        <v>54</v>
      </c>
      <c r="C17" s="18" t="s">
        <v>81</v>
      </c>
      <c r="D17" s="5" t="s">
        <v>82</v>
      </c>
      <c r="E17" s="7" t="s">
        <v>74</v>
      </c>
    </row>
    <row r="18" spans="1:5" ht="18" customHeight="1" x14ac:dyDescent="0.3">
      <c r="A18" s="11">
        <v>13</v>
      </c>
      <c r="B18" s="15" t="s">
        <v>54</v>
      </c>
      <c r="C18" s="16" t="s">
        <v>83</v>
      </c>
      <c r="D18" s="2" t="s">
        <v>84</v>
      </c>
      <c r="E18" s="7" t="s">
        <v>74</v>
      </c>
    </row>
    <row r="19" spans="1:5" ht="18" customHeight="1" x14ac:dyDescent="0.3">
      <c r="A19" s="6">
        <v>14</v>
      </c>
      <c r="B19" s="15" t="s">
        <v>54</v>
      </c>
      <c r="C19" s="18" t="s">
        <v>85</v>
      </c>
      <c r="D19" s="5" t="s">
        <v>86</v>
      </c>
      <c r="E19" s="7" t="s">
        <v>74</v>
      </c>
    </row>
    <row r="20" spans="1:5" ht="18" customHeight="1" x14ac:dyDescent="0.3">
      <c r="A20" s="48" t="s">
        <v>87</v>
      </c>
      <c r="B20" s="40"/>
      <c r="C20" s="40"/>
      <c r="D20" s="40"/>
      <c r="E20" s="40"/>
    </row>
    <row r="21" spans="1:5" ht="18" customHeight="1" x14ac:dyDescent="0.3">
      <c r="A21" s="11">
        <v>15</v>
      </c>
      <c r="B21" s="17" t="s">
        <v>63</v>
      </c>
      <c r="C21" s="16" t="s">
        <v>88</v>
      </c>
      <c r="D21" s="2" t="s">
        <v>89</v>
      </c>
      <c r="E21" s="19" t="s">
        <v>66</v>
      </c>
    </row>
    <row r="22" spans="1:5" ht="18" customHeight="1" x14ac:dyDescent="0.3">
      <c r="A22" s="6">
        <v>16</v>
      </c>
      <c r="B22" s="17" t="s">
        <v>63</v>
      </c>
      <c r="C22" s="18" t="s">
        <v>90</v>
      </c>
      <c r="D22" s="5" t="s">
        <v>91</v>
      </c>
      <c r="E22" s="19" t="s">
        <v>66</v>
      </c>
    </row>
    <row r="23" spans="1:5" ht="18" customHeight="1" x14ac:dyDescent="0.3">
      <c r="A23" s="11">
        <v>17</v>
      </c>
      <c r="B23" s="15" t="s">
        <v>54</v>
      </c>
      <c r="C23" s="16" t="s">
        <v>88</v>
      </c>
      <c r="D23" s="2" t="s">
        <v>92</v>
      </c>
      <c r="E23" s="7" t="s">
        <v>74</v>
      </c>
    </row>
    <row r="24" spans="1:5" ht="18" customHeight="1" x14ac:dyDescent="0.3">
      <c r="A24" s="6">
        <v>18</v>
      </c>
      <c r="B24" s="20" t="s">
        <v>75</v>
      </c>
      <c r="C24" s="18" t="s">
        <v>90</v>
      </c>
      <c r="D24" s="5" t="s">
        <v>93</v>
      </c>
      <c r="E24" s="7" t="s">
        <v>74</v>
      </c>
    </row>
    <row r="25" spans="1:5" ht="18" customHeight="1" x14ac:dyDescent="0.3">
      <c r="A25" s="11">
        <v>19</v>
      </c>
      <c r="B25" s="21" t="s">
        <v>77</v>
      </c>
      <c r="C25" s="16" t="s">
        <v>90</v>
      </c>
      <c r="D25" s="2" t="s">
        <v>94</v>
      </c>
      <c r="E25" s="7" t="s">
        <v>74</v>
      </c>
    </row>
    <row r="26" spans="1:5" ht="18" customHeight="1" x14ac:dyDescent="0.3">
      <c r="A26" s="6">
        <v>20</v>
      </c>
      <c r="B26" s="21" t="s">
        <v>77</v>
      </c>
      <c r="C26" s="18" t="s">
        <v>95</v>
      </c>
      <c r="D26" s="5" t="s">
        <v>96</v>
      </c>
      <c r="E26" s="7" t="s">
        <v>74</v>
      </c>
    </row>
    <row r="27" spans="1:5" ht="18" customHeight="1" x14ac:dyDescent="0.3">
      <c r="A27" s="48" t="s">
        <v>97</v>
      </c>
      <c r="B27" s="40"/>
      <c r="C27" s="40"/>
      <c r="D27" s="40"/>
      <c r="E27" s="40"/>
    </row>
    <row r="28" spans="1:5" ht="18" customHeight="1" x14ac:dyDescent="0.3">
      <c r="A28" s="11">
        <v>21</v>
      </c>
      <c r="B28" s="17" t="s">
        <v>63</v>
      </c>
      <c r="C28" s="16" t="s">
        <v>98</v>
      </c>
      <c r="D28" s="2" t="s">
        <v>99</v>
      </c>
      <c r="E28" s="19" t="s">
        <v>66</v>
      </c>
    </row>
    <row r="29" spans="1:5" ht="18" customHeight="1" x14ac:dyDescent="0.3">
      <c r="A29" s="6">
        <v>22</v>
      </c>
      <c r="B29" s="17" t="s">
        <v>63</v>
      </c>
      <c r="C29" s="18" t="s">
        <v>100</v>
      </c>
      <c r="D29" s="5" t="s">
        <v>101</v>
      </c>
      <c r="E29" s="19" t="s">
        <v>66</v>
      </c>
    </row>
    <row r="30" spans="1:5" ht="18" customHeight="1" x14ac:dyDescent="0.3">
      <c r="A30" s="11">
        <v>23</v>
      </c>
      <c r="B30" s="17" t="s">
        <v>63</v>
      </c>
      <c r="C30" s="16" t="s">
        <v>102</v>
      </c>
      <c r="D30" s="2" t="s">
        <v>103</v>
      </c>
      <c r="E30" s="19" t="s">
        <v>66</v>
      </c>
    </row>
    <row r="31" spans="1:5" ht="18" customHeight="1" x14ac:dyDescent="0.3">
      <c r="A31" s="6">
        <v>24</v>
      </c>
      <c r="B31" s="15" t="s">
        <v>54</v>
      </c>
      <c r="C31" s="18" t="s">
        <v>98</v>
      </c>
      <c r="D31" s="5" t="s">
        <v>104</v>
      </c>
      <c r="E31" s="19" t="s">
        <v>66</v>
      </c>
    </row>
    <row r="32" spans="1:5" ht="18" customHeight="1" x14ac:dyDescent="0.3">
      <c r="A32" s="11">
        <v>25</v>
      </c>
      <c r="B32" s="20" t="s">
        <v>75</v>
      </c>
      <c r="C32" s="16" t="s">
        <v>100</v>
      </c>
      <c r="D32" s="2" t="s">
        <v>105</v>
      </c>
      <c r="E32" s="19" t="s">
        <v>66</v>
      </c>
    </row>
    <row r="33" spans="1:5" ht="18" customHeight="1" x14ac:dyDescent="0.3">
      <c r="A33" s="6">
        <v>26</v>
      </c>
      <c r="B33" s="21" t="s">
        <v>77</v>
      </c>
      <c r="C33" s="18" t="s">
        <v>100</v>
      </c>
      <c r="D33" s="5" t="s">
        <v>106</v>
      </c>
      <c r="E33" s="7" t="s">
        <v>74</v>
      </c>
    </row>
    <row r="34" spans="1:5" ht="18" customHeight="1" x14ac:dyDescent="0.3">
      <c r="A34" s="11">
        <v>27</v>
      </c>
      <c r="B34" s="22" t="s">
        <v>107</v>
      </c>
      <c r="C34" s="16" t="s">
        <v>108</v>
      </c>
      <c r="D34" s="2" t="s">
        <v>109</v>
      </c>
      <c r="E34" s="7" t="s">
        <v>74</v>
      </c>
    </row>
    <row r="35" spans="1:5" ht="18" customHeight="1" x14ac:dyDescent="0.3">
      <c r="A35" s="48" t="s">
        <v>110</v>
      </c>
      <c r="B35" s="40"/>
      <c r="C35" s="40"/>
      <c r="D35" s="40"/>
      <c r="E35" s="40"/>
    </row>
    <row r="36" spans="1:5" ht="18" customHeight="1" x14ac:dyDescent="0.3">
      <c r="A36" s="6">
        <v>28</v>
      </c>
      <c r="B36" s="17" t="s">
        <v>63</v>
      </c>
      <c r="C36" s="18" t="s">
        <v>111</v>
      </c>
      <c r="D36" s="5" t="s">
        <v>112</v>
      </c>
      <c r="E36" s="19" t="s">
        <v>66</v>
      </c>
    </row>
    <row r="37" spans="1:5" ht="18" customHeight="1" x14ac:dyDescent="0.3">
      <c r="A37" s="11">
        <v>29</v>
      </c>
      <c r="B37" s="17" t="s">
        <v>63</v>
      </c>
      <c r="C37" s="16" t="s">
        <v>113</v>
      </c>
      <c r="D37" s="2" t="s">
        <v>114</v>
      </c>
      <c r="E37" s="19" t="s">
        <v>66</v>
      </c>
    </row>
    <row r="38" spans="1:5" ht="18" customHeight="1" x14ac:dyDescent="0.3">
      <c r="A38" s="6">
        <v>30</v>
      </c>
      <c r="B38" s="15" t="s">
        <v>54</v>
      </c>
      <c r="C38" s="18" t="s">
        <v>111</v>
      </c>
      <c r="D38" s="5" t="s">
        <v>115</v>
      </c>
      <c r="E38" s="7" t="s">
        <v>74</v>
      </c>
    </row>
    <row r="39" spans="1:5" ht="18" customHeight="1" x14ac:dyDescent="0.3">
      <c r="A39" s="11">
        <v>31</v>
      </c>
      <c r="B39" s="20" t="s">
        <v>75</v>
      </c>
      <c r="C39" s="16" t="s">
        <v>113</v>
      </c>
      <c r="D39" s="2" t="s">
        <v>116</v>
      </c>
      <c r="E39" s="7" t="s">
        <v>74</v>
      </c>
    </row>
    <row r="40" spans="1:5" ht="18" customHeight="1" x14ac:dyDescent="0.3">
      <c r="A40" s="6">
        <v>32</v>
      </c>
      <c r="B40" s="21" t="s">
        <v>77</v>
      </c>
      <c r="C40" s="18" t="s">
        <v>113</v>
      </c>
      <c r="D40" s="5" t="s">
        <v>117</v>
      </c>
      <c r="E40" s="7" t="s">
        <v>74</v>
      </c>
    </row>
    <row r="41" spans="1:5" ht="19.95" customHeight="1" x14ac:dyDescent="0.3">
      <c r="A41" s="47" t="s">
        <v>118</v>
      </c>
      <c r="B41" s="40"/>
      <c r="C41" s="40"/>
      <c r="D41" s="49" t="s">
        <v>119</v>
      </c>
      <c r="E41" s="40"/>
    </row>
  </sheetData>
  <mergeCells count="8">
    <mergeCell ref="A41:C41"/>
    <mergeCell ref="A20:E20"/>
    <mergeCell ref="D41:E41"/>
    <mergeCell ref="A1:E2"/>
    <mergeCell ref="A8:E8"/>
    <mergeCell ref="A27:E27"/>
    <mergeCell ref="A35:E35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>
      <selection sqref="A1:E2"/>
    </sheetView>
  </sheetViews>
  <sheetFormatPr baseColWidth="10" defaultColWidth="8.88671875" defaultRowHeight="14.4" x14ac:dyDescent="0.3"/>
  <cols>
    <col min="1" max="1" width="6" customWidth="1"/>
    <col min="2" max="2" width="28" customWidth="1"/>
    <col min="3" max="3" width="22" customWidth="1"/>
    <col min="4" max="4" width="20" customWidth="1"/>
    <col min="5" max="5" width="38" customWidth="1"/>
  </cols>
  <sheetData>
    <row r="1" spans="1:5" ht="28.05" customHeight="1" x14ac:dyDescent="0.3">
      <c r="A1" s="45" t="s">
        <v>120</v>
      </c>
      <c r="B1" s="40"/>
      <c r="C1" s="40"/>
      <c r="D1" s="40"/>
      <c r="E1" s="40"/>
    </row>
    <row r="2" spans="1:5" ht="13.95" customHeight="1" x14ac:dyDescent="0.3">
      <c r="A2" s="40"/>
      <c r="B2" s="40"/>
      <c r="C2" s="40"/>
      <c r="D2" s="40"/>
      <c r="E2" s="40"/>
    </row>
    <row r="3" spans="1:5" ht="22.05" customHeight="1" x14ac:dyDescent="0.3">
      <c r="A3" s="50" t="s">
        <v>121</v>
      </c>
      <c r="B3" s="40"/>
      <c r="C3" s="40"/>
      <c r="D3" s="40"/>
      <c r="E3" s="40"/>
    </row>
    <row r="4" spans="1:5" x14ac:dyDescent="0.3">
      <c r="A4" s="3" t="s">
        <v>48</v>
      </c>
      <c r="B4" s="3" t="s">
        <v>122</v>
      </c>
      <c r="C4" s="3" t="s">
        <v>51</v>
      </c>
      <c r="D4" s="3" t="s">
        <v>123</v>
      </c>
      <c r="E4" s="3" t="s">
        <v>124</v>
      </c>
    </row>
    <row r="5" spans="1:5" ht="55.05" customHeight="1" x14ac:dyDescent="0.3">
      <c r="A5" s="10">
        <v>1</v>
      </c>
      <c r="B5" s="23" t="s">
        <v>125</v>
      </c>
      <c r="C5" s="2" t="s">
        <v>126</v>
      </c>
      <c r="D5" s="24" t="s">
        <v>127</v>
      </c>
      <c r="E5" s="2" t="s">
        <v>128</v>
      </c>
    </row>
    <row r="6" spans="1:5" ht="55.05" customHeight="1" x14ac:dyDescent="0.3">
      <c r="A6" s="4">
        <v>2</v>
      </c>
      <c r="B6" s="25" t="s">
        <v>129</v>
      </c>
      <c r="C6" s="5" t="s">
        <v>130</v>
      </c>
      <c r="D6" s="26" t="s">
        <v>131</v>
      </c>
      <c r="E6" s="5" t="s">
        <v>132</v>
      </c>
    </row>
    <row r="7" spans="1:5" ht="55.05" customHeight="1" x14ac:dyDescent="0.3">
      <c r="A7" s="10">
        <v>3</v>
      </c>
      <c r="B7" s="23" t="s">
        <v>133</v>
      </c>
      <c r="C7" s="2" t="s">
        <v>134</v>
      </c>
      <c r="D7" s="24" t="s">
        <v>135</v>
      </c>
      <c r="E7" s="2" t="s">
        <v>136</v>
      </c>
    </row>
    <row r="8" spans="1:5" ht="55.05" customHeight="1" x14ac:dyDescent="0.3">
      <c r="A8" s="4">
        <v>4</v>
      </c>
      <c r="B8" s="25" t="s">
        <v>137</v>
      </c>
      <c r="C8" s="5" t="s">
        <v>138</v>
      </c>
      <c r="D8" s="26" t="s">
        <v>139</v>
      </c>
      <c r="E8" s="5" t="s">
        <v>140</v>
      </c>
    </row>
    <row r="9" spans="1:5" ht="55.05" customHeight="1" x14ac:dyDescent="0.3">
      <c r="A9" s="10">
        <v>5</v>
      </c>
      <c r="B9" s="23" t="s">
        <v>141</v>
      </c>
      <c r="C9" s="2" t="s">
        <v>142</v>
      </c>
      <c r="D9" s="24" t="s">
        <v>143</v>
      </c>
      <c r="E9" s="2" t="s">
        <v>144</v>
      </c>
    </row>
    <row r="11" spans="1:5" ht="10.050000000000001" customHeight="1" x14ac:dyDescent="0.3"/>
    <row r="12" spans="1:5" ht="22.05" customHeight="1" x14ac:dyDescent="0.3">
      <c r="A12" s="50" t="s">
        <v>145</v>
      </c>
      <c r="B12" s="40"/>
      <c r="C12" s="40"/>
      <c r="D12" s="40"/>
      <c r="E12" s="40"/>
    </row>
    <row r="13" spans="1:5" x14ac:dyDescent="0.3">
      <c r="A13" s="3" t="s">
        <v>48</v>
      </c>
      <c r="B13" s="3" t="s">
        <v>146</v>
      </c>
      <c r="C13" s="3" t="s">
        <v>147</v>
      </c>
      <c r="D13" s="3" t="s">
        <v>148</v>
      </c>
      <c r="E13" s="3" t="s">
        <v>124</v>
      </c>
    </row>
    <row r="14" spans="1:5" ht="60" customHeight="1" x14ac:dyDescent="0.3">
      <c r="A14" s="10">
        <v>1</v>
      </c>
      <c r="B14" s="24" t="s">
        <v>149</v>
      </c>
      <c r="C14" s="2" t="s">
        <v>150</v>
      </c>
      <c r="D14" s="27" t="s">
        <v>151</v>
      </c>
      <c r="E14" s="2" t="s">
        <v>152</v>
      </c>
    </row>
    <row r="15" spans="1:5" ht="60" customHeight="1" x14ac:dyDescent="0.3">
      <c r="A15" s="4">
        <v>2</v>
      </c>
      <c r="B15" s="26" t="s">
        <v>153</v>
      </c>
      <c r="C15" s="5" t="s">
        <v>154</v>
      </c>
      <c r="D15" s="28" t="s">
        <v>155</v>
      </c>
      <c r="E15" s="5" t="s">
        <v>156</v>
      </c>
    </row>
    <row r="16" spans="1:5" ht="60" customHeight="1" x14ac:dyDescent="0.3">
      <c r="A16" s="10">
        <v>3</v>
      </c>
      <c r="B16" s="24" t="s">
        <v>157</v>
      </c>
      <c r="C16" s="2" t="s">
        <v>158</v>
      </c>
      <c r="D16" s="27" t="s">
        <v>159</v>
      </c>
      <c r="E16" s="2" t="s">
        <v>160</v>
      </c>
    </row>
    <row r="17" spans="1:5" ht="60" customHeight="1" x14ac:dyDescent="0.3">
      <c r="A17" s="4">
        <v>4</v>
      </c>
      <c r="B17" s="26" t="s">
        <v>161</v>
      </c>
      <c r="C17" s="5" t="s">
        <v>162</v>
      </c>
      <c r="D17" s="28" t="s">
        <v>163</v>
      </c>
      <c r="E17" s="5" t="s">
        <v>164</v>
      </c>
    </row>
    <row r="18" spans="1:5" ht="60" customHeight="1" x14ac:dyDescent="0.3">
      <c r="A18" s="10">
        <v>5</v>
      </c>
      <c r="B18" s="24" t="s">
        <v>165</v>
      </c>
      <c r="C18" s="2" t="s">
        <v>166</v>
      </c>
      <c r="D18" s="27" t="s">
        <v>167</v>
      </c>
      <c r="E18" s="2" t="s">
        <v>168</v>
      </c>
    </row>
  </sheetData>
  <mergeCells count="3">
    <mergeCell ref="A12:E12"/>
    <mergeCell ref="A1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showGridLines="0" workbookViewId="0">
      <selection activeCell="D16" sqref="D16"/>
    </sheetView>
  </sheetViews>
  <sheetFormatPr baseColWidth="10" defaultColWidth="8.88671875" defaultRowHeight="14.4" x14ac:dyDescent="0.3"/>
  <cols>
    <col min="1" max="1" width="32" customWidth="1"/>
    <col min="2" max="2" width="20" customWidth="1"/>
    <col min="3" max="3" width="32" customWidth="1"/>
    <col min="4" max="4" width="20" customWidth="1"/>
  </cols>
  <sheetData>
    <row r="1" spans="1:4" ht="28.05" customHeight="1" x14ac:dyDescent="0.3">
      <c r="A1" s="45" t="s">
        <v>169</v>
      </c>
      <c r="B1" s="40"/>
      <c r="C1" s="40"/>
      <c r="D1" s="40"/>
    </row>
    <row r="2" spans="1:4" x14ac:dyDescent="0.3">
      <c r="A2" s="40"/>
      <c r="B2" s="40"/>
      <c r="C2" s="40"/>
      <c r="D2" s="40"/>
    </row>
    <row r="3" spans="1:4" ht="22.05" customHeight="1" x14ac:dyDescent="0.3">
      <c r="A3" s="50" t="s">
        <v>170</v>
      </c>
      <c r="B3" s="40"/>
      <c r="C3" s="40"/>
      <c r="D3" s="40"/>
    </row>
    <row r="4" spans="1:4" x14ac:dyDescent="0.3">
      <c r="A4" s="3" t="s">
        <v>171</v>
      </c>
      <c r="B4" s="3" t="s">
        <v>172</v>
      </c>
      <c r="C4" s="3" t="s">
        <v>171</v>
      </c>
      <c r="D4" s="3" t="s">
        <v>172</v>
      </c>
    </row>
    <row r="5" spans="1:4" ht="34.950000000000003" customHeight="1" x14ac:dyDescent="0.3">
      <c r="A5" s="24" t="s">
        <v>173</v>
      </c>
      <c r="B5" s="12" t="s">
        <v>174</v>
      </c>
      <c r="C5" s="24" t="s">
        <v>175</v>
      </c>
      <c r="D5" s="12" t="s">
        <v>176</v>
      </c>
    </row>
    <row r="6" spans="1:4" ht="34.950000000000003" customHeight="1" x14ac:dyDescent="0.3">
      <c r="A6" s="26" t="s">
        <v>177</v>
      </c>
      <c r="B6" s="8" t="s">
        <v>178</v>
      </c>
      <c r="C6" s="26" t="s">
        <v>179</v>
      </c>
      <c r="D6" s="9" t="s">
        <v>180</v>
      </c>
    </row>
    <row r="7" spans="1:4" ht="34.950000000000003" customHeight="1" x14ac:dyDescent="0.3">
      <c r="A7" s="24" t="s">
        <v>181</v>
      </c>
      <c r="B7" s="12" t="s">
        <v>182</v>
      </c>
      <c r="C7" s="24" t="s">
        <v>183</v>
      </c>
      <c r="D7" s="12" t="s">
        <v>184</v>
      </c>
    </row>
    <row r="8" spans="1:4" ht="34.950000000000003" customHeight="1" x14ac:dyDescent="0.3">
      <c r="A8" s="26" t="s">
        <v>185</v>
      </c>
      <c r="B8" s="9" t="s">
        <v>186</v>
      </c>
      <c r="C8" s="26" t="s">
        <v>187</v>
      </c>
      <c r="D8" s="9" t="s">
        <v>188</v>
      </c>
    </row>
    <row r="9" spans="1:4" ht="34.950000000000003" customHeight="1" x14ac:dyDescent="0.3">
      <c r="A9" s="24" t="s">
        <v>189</v>
      </c>
      <c r="B9" s="12" t="s">
        <v>190</v>
      </c>
      <c r="C9" s="24" t="s">
        <v>191</v>
      </c>
      <c r="D9" s="12" t="s">
        <v>182</v>
      </c>
    </row>
    <row r="11" spans="1:4" ht="10.050000000000001" customHeight="1" x14ac:dyDescent="0.3"/>
    <row r="12" spans="1:4" ht="22.05" customHeight="1" x14ac:dyDescent="0.3">
      <c r="A12" s="50" t="s">
        <v>192</v>
      </c>
      <c r="B12" s="40"/>
      <c r="C12" s="40"/>
      <c r="D12" s="40"/>
    </row>
    <row r="13" spans="1:4" ht="27.6" x14ac:dyDescent="0.3">
      <c r="A13" s="3" t="s">
        <v>48</v>
      </c>
      <c r="B13" s="3" t="s">
        <v>193</v>
      </c>
      <c r="C13" s="3" t="s">
        <v>194</v>
      </c>
      <c r="D13" s="3" t="s">
        <v>13</v>
      </c>
    </row>
    <row r="14" spans="1:4" ht="31.95" customHeight="1" x14ac:dyDescent="0.3">
      <c r="A14" s="2" t="s">
        <v>195</v>
      </c>
      <c r="B14" s="2" t="s">
        <v>196</v>
      </c>
      <c r="C14" s="8" t="s">
        <v>197</v>
      </c>
    </row>
    <row r="15" spans="1:4" ht="31.95" customHeight="1" x14ac:dyDescent="0.3">
      <c r="A15" s="5" t="s">
        <v>198</v>
      </c>
      <c r="B15" s="5" t="s">
        <v>199</v>
      </c>
      <c r="C15" s="8" t="s">
        <v>197</v>
      </c>
    </row>
    <row r="16" spans="1:4" ht="31.95" customHeight="1" x14ac:dyDescent="0.3">
      <c r="A16" s="2" t="s">
        <v>200</v>
      </c>
      <c r="B16" s="2" t="s">
        <v>201</v>
      </c>
      <c r="C16" s="8" t="s">
        <v>197</v>
      </c>
    </row>
    <row r="17" spans="1:4" ht="31.95" customHeight="1" x14ac:dyDescent="0.3">
      <c r="A17" s="5" t="s">
        <v>202</v>
      </c>
      <c r="B17" s="5" t="s">
        <v>203</v>
      </c>
      <c r="C17" s="8" t="s">
        <v>197</v>
      </c>
    </row>
    <row r="18" spans="1:4" ht="31.95" customHeight="1" x14ac:dyDescent="0.3">
      <c r="A18" s="2" t="s">
        <v>204</v>
      </c>
      <c r="B18" s="2" t="s">
        <v>205</v>
      </c>
      <c r="C18" s="8" t="s">
        <v>197</v>
      </c>
    </row>
    <row r="19" spans="1:4" ht="31.95" customHeight="1" x14ac:dyDescent="0.3">
      <c r="A19" s="5" t="s">
        <v>206</v>
      </c>
      <c r="B19" s="5" t="s">
        <v>207</v>
      </c>
      <c r="C19" s="8" t="s">
        <v>197</v>
      </c>
    </row>
    <row r="20" spans="1:4" ht="31.95" customHeight="1" x14ac:dyDescent="0.3">
      <c r="A20" s="2" t="s">
        <v>208</v>
      </c>
      <c r="B20" s="2" t="s">
        <v>209</v>
      </c>
      <c r="C20" s="8" t="s">
        <v>197</v>
      </c>
    </row>
    <row r="21" spans="1:4" ht="31.95" customHeight="1" x14ac:dyDescent="0.3">
      <c r="A21" s="5" t="s">
        <v>210</v>
      </c>
      <c r="B21" s="5" t="s">
        <v>211</v>
      </c>
      <c r="C21" s="8" t="s">
        <v>197</v>
      </c>
    </row>
    <row r="22" spans="1:4" ht="31.95" customHeight="1" x14ac:dyDescent="0.3">
      <c r="A22" s="2" t="s">
        <v>212</v>
      </c>
      <c r="B22" s="2" t="s">
        <v>213</v>
      </c>
      <c r="C22" s="8" t="s">
        <v>197</v>
      </c>
    </row>
    <row r="24" spans="1:4" ht="22.05" customHeight="1" x14ac:dyDescent="0.3">
      <c r="A24" s="50" t="s">
        <v>214</v>
      </c>
      <c r="B24" s="40"/>
      <c r="C24" s="40"/>
      <c r="D24" s="40"/>
    </row>
    <row r="25" spans="1:4" ht="27.6" x14ac:dyDescent="0.3">
      <c r="A25" s="3" t="s">
        <v>48</v>
      </c>
      <c r="B25" s="3" t="s">
        <v>215</v>
      </c>
      <c r="C25" s="3" t="s">
        <v>216</v>
      </c>
      <c r="D25" s="3" t="s">
        <v>217</v>
      </c>
    </row>
    <row r="26" spans="1:4" ht="30" customHeight="1" x14ac:dyDescent="0.3">
      <c r="A26" s="29">
        <v>1</v>
      </c>
      <c r="B26" s="30" t="s">
        <v>218</v>
      </c>
      <c r="C26" s="30" t="s">
        <v>219</v>
      </c>
      <c r="D26" s="31" t="s">
        <v>220</v>
      </c>
    </row>
    <row r="27" spans="1:4" ht="30" customHeight="1" x14ac:dyDescent="0.3">
      <c r="A27" s="32">
        <v>2</v>
      </c>
      <c r="B27" s="33" t="s">
        <v>221</v>
      </c>
      <c r="C27" s="33" t="s">
        <v>222</v>
      </c>
      <c r="D27" s="34" t="s">
        <v>223</v>
      </c>
    </row>
    <row r="28" spans="1:4" ht="30" customHeight="1" x14ac:dyDescent="0.3">
      <c r="A28" s="29">
        <v>3</v>
      </c>
      <c r="B28" s="30" t="s">
        <v>224</v>
      </c>
      <c r="C28" s="30" t="s">
        <v>225</v>
      </c>
      <c r="D28" s="31" t="s">
        <v>226</v>
      </c>
    </row>
  </sheetData>
  <mergeCells count="4">
    <mergeCell ref="A12:D12"/>
    <mergeCell ref="A1:D2"/>
    <mergeCell ref="A3:D3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showGridLines="0" tabSelected="1" workbookViewId="0">
      <selection sqref="A1:D2"/>
    </sheetView>
  </sheetViews>
  <sheetFormatPr baseColWidth="10" defaultColWidth="8.88671875" defaultRowHeight="14.4" x14ac:dyDescent="0.3"/>
  <cols>
    <col min="1" max="1" width="35" customWidth="1"/>
    <col min="2" max="2" width="15" customWidth="1"/>
    <col min="3" max="3" width="35" customWidth="1"/>
    <col min="4" max="4" width="18" customWidth="1"/>
  </cols>
  <sheetData>
    <row r="1" spans="1:4" ht="28.05" customHeight="1" x14ac:dyDescent="0.3">
      <c r="A1" s="45" t="s">
        <v>227</v>
      </c>
      <c r="B1" s="40"/>
      <c r="C1" s="40"/>
      <c r="D1" s="40"/>
    </row>
    <row r="2" spans="1:4" x14ac:dyDescent="0.3">
      <c r="A2" s="40"/>
      <c r="B2" s="40"/>
      <c r="C2" s="40"/>
      <c r="D2" s="40"/>
    </row>
    <row r="3" spans="1:4" ht="22.05" customHeight="1" x14ac:dyDescent="0.3">
      <c r="A3" s="50" t="s">
        <v>228</v>
      </c>
      <c r="B3" s="40"/>
      <c r="C3" s="40"/>
      <c r="D3" s="40"/>
    </row>
    <row r="4" spans="1:4" x14ac:dyDescent="0.3">
      <c r="A4" s="3" t="s">
        <v>229</v>
      </c>
      <c r="B4" s="3" t="s">
        <v>13</v>
      </c>
      <c r="C4" s="3" t="s">
        <v>230</v>
      </c>
      <c r="D4" s="3" t="s">
        <v>26</v>
      </c>
    </row>
    <row r="5" spans="1:4" ht="30" customHeight="1" x14ac:dyDescent="0.3">
      <c r="A5" s="2" t="s">
        <v>231</v>
      </c>
      <c r="B5" s="8" t="s">
        <v>232</v>
      </c>
      <c r="C5" s="2" t="s">
        <v>233</v>
      </c>
      <c r="D5" s="11" t="s">
        <v>7</v>
      </c>
    </row>
    <row r="6" spans="1:4" ht="30" customHeight="1" x14ac:dyDescent="0.3">
      <c r="A6" s="5" t="s">
        <v>234</v>
      </c>
      <c r="B6" s="8" t="s">
        <v>232</v>
      </c>
      <c r="C6" s="5" t="s">
        <v>235</v>
      </c>
      <c r="D6" s="6" t="s">
        <v>31</v>
      </c>
    </row>
    <row r="7" spans="1:4" ht="30" customHeight="1" x14ac:dyDescent="0.3">
      <c r="A7" s="2" t="s">
        <v>236</v>
      </c>
      <c r="B7" s="8" t="s">
        <v>232</v>
      </c>
      <c r="C7" s="2" t="s">
        <v>237</v>
      </c>
      <c r="D7" s="11" t="s">
        <v>31</v>
      </c>
    </row>
    <row r="8" spans="1:4" ht="30" customHeight="1" x14ac:dyDescent="0.3">
      <c r="A8" s="5" t="s">
        <v>238</v>
      </c>
      <c r="B8" s="8" t="s">
        <v>232</v>
      </c>
      <c r="C8" s="5" t="s">
        <v>239</v>
      </c>
      <c r="D8" s="6" t="s">
        <v>45</v>
      </c>
    </row>
    <row r="9" spans="1:4" ht="30" customHeight="1" x14ac:dyDescent="0.3">
      <c r="A9" s="2" t="s">
        <v>240</v>
      </c>
      <c r="B9" s="8" t="s">
        <v>232</v>
      </c>
      <c r="C9" s="2" t="s">
        <v>241</v>
      </c>
      <c r="D9" s="11" t="s">
        <v>31</v>
      </c>
    </row>
    <row r="10" spans="1:4" ht="30" customHeight="1" x14ac:dyDescent="0.3">
      <c r="A10" s="5" t="s">
        <v>242</v>
      </c>
      <c r="B10" s="8" t="s">
        <v>232</v>
      </c>
      <c r="C10" s="5" t="s">
        <v>243</v>
      </c>
      <c r="D10" s="6" t="s">
        <v>31</v>
      </c>
    </row>
    <row r="11" spans="1:4" ht="30" customHeight="1" x14ac:dyDescent="0.3">
      <c r="A11" s="2" t="s">
        <v>244</v>
      </c>
      <c r="B11" s="8" t="s">
        <v>232</v>
      </c>
      <c r="C11" s="2" t="s">
        <v>245</v>
      </c>
      <c r="D11" s="11" t="s">
        <v>31</v>
      </c>
    </row>
    <row r="12" spans="1:4" ht="30" customHeight="1" x14ac:dyDescent="0.3">
      <c r="A12" s="5" t="s">
        <v>246</v>
      </c>
      <c r="B12" s="8" t="s">
        <v>232</v>
      </c>
      <c r="C12" s="5" t="s">
        <v>247</v>
      </c>
      <c r="D12" s="6" t="s">
        <v>45</v>
      </c>
    </row>
    <row r="14" spans="1:4" ht="10.050000000000001" customHeight="1" x14ac:dyDescent="0.3"/>
    <row r="15" spans="1:4" ht="22.05" customHeight="1" x14ac:dyDescent="0.3">
      <c r="A15" s="50" t="s">
        <v>248</v>
      </c>
      <c r="B15" s="40"/>
      <c r="C15" s="40"/>
      <c r="D15" s="40"/>
    </row>
    <row r="16" spans="1:4" x14ac:dyDescent="0.3">
      <c r="A16" s="3" t="s">
        <v>249</v>
      </c>
      <c r="B16" s="3" t="s">
        <v>250</v>
      </c>
      <c r="C16" s="3" t="s">
        <v>251</v>
      </c>
      <c r="D16" s="3" t="s">
        <v>13</v>
      </c>
    </row>
    <row r="17" spans="1:4" ht="49.95" customHeight="1" x14ac:dyDescent="0.3">
      <c r="A17" s="5" t="s">
        <v>252</v>
      </c>
      <c r="B17" s="13" t="s">
        <v>41</v>
      </c>
      <c r="C17" s="5" t="s">
        <v>253</v>
      </c>
      <c r="D17" s="8" t="s">
        <v>254</v>
      </c>
    </row>
    <row r="18" spans="1:4" ht="49.95" customHeight="1" x14ac:dyDescent="0.3">
      <c r="A18" s="2" t="s">
        <v>255</v>
      </c>
      <c r="B18" s="7" t="s">
        <v>30</v>
      </c>
      <c r="C18" s="2" t="s">
        <v>256</v>
      </c>
      <c r="D18" s="8" t="s">
        <v>254</v>
      </c>
    </row>
    <row r="19" spans="1:4" ht="49.95" customHeight="1" x14ac:dyDescent="0.3">
      <c r="A19" s="5" t="s">
        <v>257</v>
      </c>
      <c r="B19" s="35" t="s">
        <v>258</v>
      </c>
      <c r="C19" s="5" t="s">
        <v>259</v>
      </c>
      <c r="D19" s="29" t="s">
        <v>260</v>
      </c>
    </row>
    <row r="21" spans="1:4" ht="22.05" customHeight="1" x14ac:dyDescent="0.3">
      <c r="A21" s="50" t="s">
        <v>261</v>
      </c>
      <c r="B21" s="40"/>
      <c r="C21" s="40"/>
      <c r="D21" s="40"/>
    </row>
    <row r="22" spans="1:4" ht="30" customHeight="1" x14ac:dyDescent="0.3">
      <c r="A22" s="1" t="s">
        <v>262</v>
      </c>
      <c r="B22" s="51" t="s">
        <v>263</v>
      </c>
      <c r="C22" s="40"/>
      <c r="D22" s="40"/>
    </row>
    <row r="23" spans="1:4" ht="30" customHeight="1" x14ac:dyDescent="0.3">
      <c r="A23" s="1" t="s">
        <v>264</v>
      </c>
      <c r="B23" s="51" t="s">
        <v>265</v>
      </c>
      <c r="C23" s="40"/>
      <c r="D23" s="40"/>
    </row>
    <row r="24" spans="1:4" ht="30" customHeight="1" x14ac:dyDescent="0.3">
      <c r="A24" s="1" t="s">
        <v>266</v>
      </c>
      <c r="B24" s="51" t="s">
        <v>267</v>
      </c>
      <c r="C24" s="40"/>
      <c r="D24" s="40"/>
    </row>
  </sheetData>
  <mergeCells count="7">
    <mergeCell ref="B24:D24"/>
    <mergeCell ref="A1:D2"/>
    <mergeCell ref="B23:D23"/>
    <mergeCell ref="B22:D22"/>
    <mergeCell ref="A3:D3"/>
    <mergeCell ref="A21:D2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Backlog Sprint 1</vt:lpstr>
      <vt:lpstr>Endpoints REST</vt:lpstr>
      <vt:lpstr>Base de Datos</vt:lpstr>
      <vt:lpstr>Métricas y Demo</vt:lpstr>
      <vt:lpstr>DoD e Impedimentos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PI70836882 (Hidalgo Morales, Walter Jose)</cp:lastModifiedBy>
  <dcterms:created xsi:type="dcterms:W3CDTF">2026-03-10T13:39:58Z</dcterms:created>
  <dcterms:modified xsi:type="dcterms:W3CDTF">2026-03-17T15:35:19Z</dcterms:modified>
</cp:coreProperties>
</file>