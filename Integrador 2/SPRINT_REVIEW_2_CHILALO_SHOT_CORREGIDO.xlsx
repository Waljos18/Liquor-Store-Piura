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Liquor-Store-Piura-master\Liquor-Store-Piura-master\Integrador 2\"/>
    </mc:Choice>
  </mc:AlternateContent>
  <xr:revisionPtr revIDLastSave="0" documentId="13_ncr:1_{2A49126E-3970-4E23-8641-F41F848C4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3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" i="1" l="1"/>
</calcChain>
</file>

<file path=xl/sharedStrings.xml><?xml version="1.0" encoding="utf-8"?>
<sst xmlns="http://schemas.openxmlformats.org/spreadsheetml/2006/main" count="148" uniqueCount="109">
  <si>
    <t>SPRINT GOAL</t>
  </si>
  <si>
    <t>Meta Sprint 2 : operación diaria digital — POS web con formas de pago, facturación electrónica SUNAT, inventario y compras, caja, gastos, devoluciones, crédito/fiado y clientes (semanas 5–9).</t>
  </si>
  <si>
    <t>Orden</t>
  </si>
  <si>
    <t>ID HU</t>
  </si>
  <si>
    <t>Historia de usuario (Sprint 2)</t>
  </si>
  <si>
    <t>IDTAREA</t>
  </si>
  <si>
    <t>Tarea (Sprint Backlog)</t>
  </si>
  <si>
    <t>Estimación</t>
  </si>
  <si>
    <t>PRIORIDAD</t>
  </si>
  <si>
    <t>STATUS</t>
  </si>
  <si>
    <t>PROCEDENCIA</t>
  </si>
  <si>
    <t>OBSERVACIÓN</t>
  </si>
  <si>
    <t>HU-06</t>
  </si>
  <si>
    <t>Como vendedor, quiero usar un POS web ágil para registrar ventas con carrito, descuentos, varias formas de pago y consultar el historial, viendo disponibilidad de stock en tiempo real.</t>
  </si>
  <si>
    <t>T0201</t>
  </si>
  <si>
    <t>POS: búsqueda rápida de productos por nombre y código de barras; listado con stock visible.</t>
  </si>
  <si>
    <t>MUST</t>
  </si>
  <si>
    <t>APROBADO</t>
  </si>
  <si>
    <t>T0202</t>
  </si>
  <si>
    <t>Carrito de venta: cantidades editables, descuentos (porcentaje o monto) y totales automáticos.</t>
  </si>
  <si>
    <t>T0203</t>
  </si>
  <si>
    <t>Formas de pago: efectivo, tarjeta, Yape, Plin, transferencia, mixto y crédito/fiado.</t>
  </si>
  <si>
    <t>CONTADOR(LUIS MIGUEL)</t>
  </si>
  <si>
    <t>TECLADO VIRTUAL - CAPTCHA</t>
  </si>
  <si>
    <t>T0204</t>
  </si>
  <si>
    <t>Cálculo de vuelto y validaciones básicas antes de confirmar la venta.</t>
  </si>
  <si>
    <t>T0205</t>
  </si>
  <si>
    <t>Historial de ventas con filtros por fecha, forma de pago y estado.</t>
  </si>
  <si>
    <t>T0206</t>
  </si>
  <si>
    <t>Integración POS con inventario: bloqueo/agotado visible al vender (feedback Sprint 1).</t>
  </si>
  <si>
    <t>Stock en lista</t>
  </si>
  <si>
    <t>HU-07</t>
  </si>
  <si>
    <t>Como administrador, quiero emitir boletas y facturas electrónicas cumpliendo la normativa SUNAT desde el sistema.</t>
  </si>
  <si>
    <t>T0208</t>
  </si>
  <si>
    <t>Emisión de boletas electrónicas (serie B001) con XML y PDF.</t>
  </si>
  <si>
    <t>T0209</t>
  </si>
  <si>
    <t>Emisión de facturas electrónicas (serie F001) cuando corresponda.</t>
  </si>
  <si>
    <t>T0210</t>
  </si>
  <si>
    <t>Almacenamiento y consulta de estado de comprobantes; manejo de errores de envío.</t>
  </si>
  <si>
    <t>HU-08</t>
  </si>
  <si>
    <t>Como administrador, quiero controlar inventario y abastecimiento: alertas, movimientos, compras, proveedores y mermas.</t>
  </si>
  <si>
    <t>T0212</t>
  </si>
  <si>
    <t>Descuento automático de stock al confirmar ventas; consistencia con detalle de venta.</t>
  </si>
  <si>
    <t>EN PROCESO</t>
  </si>
  <si>
    <t>Descuento de stock existe; reforzar validaciones de consistencia por detalle</t>
  </si>
  <si>
    <t>T0213</t>
  </si>
  <si>
    <t>Alertas de stock bajo respecto al mínimo configurado.</t>
  </si>
  <si>
    <t>T0214</t>
  </si>
  <si>
    <t>Alertas de productos próximos a vencer (ventana configurable, ej. 7 días).</t>
  </si>
  <si>
    <t>T0215</t>
  </si>
  <si>
    <t>Movimientos de inventario: entrada, salida y ajuste con motivo y trazabilidad.</t>
  </si>
  <si>
    <t>T0216</t>
  </si>
  <si>
    <t>Órdenes de compra y recepción total o parcial de mercadería actualizando stock.</t>
  </si>
  <si>
    <t>T0217</t>
  </si>
  <si>
    <t>CRUD de proveedores con datos de contacto.</t>
  </si>
  <si>
    <t>T0218</t>
  </si>
  <si>
    <t>Registro de mermas con descuento automático de stock.</t>
  </si>
  <si>
    <t>HU-09</t>
  </si>
  <si>
    <t>T0219</t>
  </si>
  <si>
    <t>Apertura y cierre de caja con montos iniciales/finales y detección de diferencias.</t>
  </si>
  <si>
    <t>T0220</t>
  </si>
  <si>
    <t>Registro de gastos operativos por categoría.</t>
  </si>
  <si>
    <t>T0221</t>
  </si>
  <si>
    <t>T0222</t>
  </si>
  <si>
    <t>Ventas al crédito: cuentas por cobrar y registro de pagos parciales o totales.</t>
  </si>
  <si>
    <t>T0223</t>
  </si>
  <si>
    <t>Registro de clientes y vinculación a ventas para seguimiento.</t>
  </si>
  <si>
    <t>TOTAL (estimación)</t>
  </si>
  <si>
    <t>Sprint</t>
  </si>
  <si>
    <t>Sprint 2</t>
  </si>
  <si>
    <t>Período</t>
  </si>
  <si>
    <t>Semanas 5–9</t>
  </si>
  <si>
    <t>Fecha revisión</t>
  </si>
  <si>
    <t>Fin de semana 9</t>
  </si>
  <si>
    <t>Cumplimiento backlog</t>
  </si>
  <si>
    <t>87% (20 tareas cerradas / 23)</t>
  </si>
  <si>
    <t>Horas aproximadas</t>
  </si>
  <si>
    <t>~100 h</t>
  </si>
  <si>
    <t>Incidente principal</t>
  </si>
  <si>
    <t>Pendiente cierre: SUNAT/OSE sandbox real, RCB y consistencia de stock por detalle</t>
  </si>
  <si>
    <t>Feedback cliente destacado</t>
  </si>
  <si>
    <t>Operación diaria digital; siguiente foco: promociones, reportes e IA (Sprint 3)</t>
  </si>
  <si>
    <t>Tu escala (EN)</t>
  </si>
  <si>
    <t>Traducción al español</t>
  </si>
  <si>
    <t>MoSCoW</t>
  </si>
  <si>
    <t>Traducción MoSCoW al español</t>
  </si>
  <si>
    <t>Interpretación práctica</t>
  </si>
  <si>
    <t>Highest</t>
  </si>
  <si>
    <t>Máxima (o Más alta)</t>
  </si>
  <si>
    <t>Must have</t>
  </si>
  <si>
    <t>Imprescindible</t>
  </si>
  <si>
    <t>Sin esto, el MVP/Sprint Goal no se cumple (no hay entrega usable).</t>
  </si>
  <si>
    <t>High</t>
  </si>
  <si>
    <t>Alta</t>
  </si>
  <si>
    <t>Should have</t>
  </si>
  <si>
    <t>Debería tener (Muy importante)</t>
  </si>
  <si>
    <t>Aporta valor crítico, pero podría diferirse sin invalidar totalmente el Sprint.</t>
  </si>
  <si>
    <t>Low</t>
  </si>
  <si>
    <t>Baja</t>
  </si>
  <si>
    <t>Could have</t>
  </si>
  <si>
    <t>Podría tener (Deseable)</t>
  </si>
  <si>
    <t>Se incluye solo si hay capacidad; no compromete el objetivo.</t>
  </si>
  <si>
    <t>Lowest</t>
  </si>
  <si>
    <t>Mínima (o Más baja)</t>
  </si>
  <si>
    <t>Won’t have (por ahora)</t>
  </si>
  <si>
    <t>No se hará por ahora</t>
  </si>
  <si>
    <t>Fuera del Sprint/release actual para proteger enfoque y plazo.</t>
  </si>
  <si>
    <t>Anulaciones de venta con restauración de stock y nota asociada.</t>
  </si>
  <si>
    <t>Como administrador o vendedor, quiero gestionar caja, gastos, anulaciones, crédito y clientes para cerrar el ciclo operativo diario.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</si>
</sst>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Puntos&quot;"/>
  </numFmts>
  <fonts count="6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6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0" borderId="1" xfId="0" applyBorder="1"/>
    <xf numFmtId="164" fontId="5" fillId="0" borderId="1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2" fillId="3" borderId="2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/>
    <xf numFmtId="0" fontId="0" fillId="4" borderId="1" xfId="0" applyFill="1" applyBorder="1"/>
    <xf numFmtId="0" fontId="0" fillId="4" borderId="0" xfId="0" applyFill="1" applyAlignment="1">
      <alignment horizont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wrapText="1"/>
    </xf>
    <xf numFmtId="0" fontId="2" fillId="7" borderId="3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0" fillId="7" borderId="0" xfId="0" applyFill="1"/>
    <xf numFmtId="0" fontId="0" fillId="7" borderId="1" xfId="0" applyFill="1" applyBorder="1"/>
    <xf numFmtId="0" fontId="0" fillId="7" borderId="0" xfId="0" applyFill="1" applyAlignment="1">
      <alignment horizontal="center" wrapText="1"/>
    </xf>
    <xf numFmtId="16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wrapText="1"/>
    </xf>
    <xf numFmtId="0" fontId="2" fillId="8" borderId="3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0" fillId="8" borderId="0" xfId="0" applyFill="1"/>
    <xf numFmtId="0" fontId="0" fillId="8" borderId="1" xfId="0" applyFill="1" applyBorder="1"/>
    <xf numFmtId="0" fontId="0" fillId="8" borderId="0" xfId="0" applyFill="1" applyAlignment="1">
      <alignment horizontal="center" wrapText="1"/>
    </xf>
    <xf numFmtId="164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zoomScaleNormal="100" workbookViewId="0">
      <selection activeCell="G30" sqref="G30"/>
    </sheetView>
  </sheetViews>
  <sheetFormatPr baseColWidth="10" defaultRowHeight="13.8"/>
  <cols>
    <col min="1" max="1" width="7.3984375" style="15" bestFit="1" customWidth="1"/>
    <col min="2" max="2" width="7.09765625" style="15" bestFit="1" customWidth="1"/>
    <col min="3" max="3" width="45.09765625" style="16" customWidth="1"/>
    <col min="4" max="4" width="12.8984375" style="15" customWidth="1"/>
    <col min="5" max="5" width="73.3984375" style="15" customWidth="1"/>
    <col min="6" max="6" width="10.59765625" style="15" bestFit="1" customWidth="1"/>
    <col min="7" max="7" width="11.5" style="15" bestFit="1" customWidth="1"/>
    <col min="8" max="8" width="15.19921875" style="15" bestFit="1" customWidth="1"/>
    <col min="9" max="9" width="24" style="15" bestFit="1" customWidth="1"/>
    <col min="10" max="10" width="28.09765625" style="15" bestFit="1" customWidth="1"/>
  </cols>
  <sheetData>
    <row r="1" spans="1:10" ht="33.75" customHeight="1">
      <c r="A1" s="17" t="s">
        <v>0</v>
      </c>
      <c r="B1" s="18"/>
      <c r="C1" s="19"/>
      <c r="D1" s="23" t="s">
        <v>1</v>
      </c>
      <c r="E1" s="18"/>
      <c r="F1" s="18"/>
      <c r="G1" s="19"/>
    </row>
    <row r="2" spans="1:10" ht="39" customHeight="1">
      <c r="A2" s="20"/>
      <c r="B2" s="21"/>
      <c r="C2" s="22"/>
      <c r="D2" s="20"/>
      <c r="E2" s="21"/>
      <c r="F2" s="21"/>
      <c r="G2" s="22"/>
    </row>
    <row r="4" spans="1:10" ht="33" customHeigh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6.5" customHeight="1">
      <c r="A5" s="27">
        <v>1</v>
      </c>
      <c r="B5" s="24" t="s">
        <v>12</v>
      </c>
      <c r="C5" s="27" t="s">
        <v>13</v>
      </c>
      <c r="D5" s="11" t="s">
        <v>14</v>
      </c>
      <c r="E5" s="3" t="s">
        <v>15</v>
      </c>
      <c r="F5" s="14">
        <v>8</v>
      </c>
      <c r="G5" s="10" t="s">
        <v>16</v>
      </c>
      <c r="H5" s="13" t="s">
        <v>17</v>
      </c>
      <c r="I5" s="13"/>
      <c r="J5" s="13"/>
    </row>
    <row r="6" spans="1:10" ht="16.5" customHeight="1">
      <c r="A6" s="25"/>
      <c r="B6" s="25"/>
      <c r="C6" s="25"/>
      <c r="D6" s="11" t="s">
        <v>18</v>
      </c>
      <c r="E6" s="3" t="s">
        <v>19</v>
      </c>
      <c r="F6">
        <v>8</v>
      </c>
      <c r="G6" t="s">
        <v>16</v>
      </c>
      <c r="H6" s="13" t="s">
        <v>17</v>
      </c>
      <c r="I6" s="13"/>
      <c r="J6" s="13"/>
    </row>
    <row r="7" spans="1:10" ht="16.5" customHeight="1">
      <c r="A7" s="25"/>
      <c r="B7" s="25"/>
      <c r="C7" s="25"/>
      <c r="D7" s="11" t="s">
        <v>20</v>
      </c>
      <c r="E7" s="3" t="s">
        <v>21</v>
      </c>
      <c r="F7">
        <v>8</v>
      </c>
      <c r="G7" t="s">
        <v>16</v>
      </c>
      <c r="H7" s="13" t="s">
        <v>17</v>
      </c>
      <c r="I7" s="13" t="s">
        <v>22</v>
      </c>
      <c r="J7" s="13" t="s">
        <v>23</v>
      </c>
    </row>
    <row r="8" spans="1:10" ht="16.5" customHeight="1">
      <c r="A8" s="25"/>
      <c r="B8" s="25"/>
      <c r="C8" s="25"/>
      <c r="D8" s="11" t="s">
        <v>24</v>
      </c>
      <c r="E8" s="3" t="s">
        <v>25</v>
      </c>
      <c r="F8">
        <v>5</v>
      </c>
      <c r="G8" t="s">
        <v>16</v>
      </c>
      <c r="H8" s="13" t="s">
        <v>17</v>
      </c>
      <c r="I8" s="13"/>
      <c r="J8" s="13"/>
    </row>
    <row r="9" spans="1:10" ht="16.5" customHeight="1">
      <c r="A9" s="25"/>
      <c r="B9" s="25"/>
      <c r="C9" s="25"/>
      <c r="D9" s="11" t="s">
        <v>26</v>
      </c>
      <c r="E9" s="3" t="s">
        <v>27</v>
      </c>
      <c r="F9">
        <v>5</v>
      </c>
      <c r="G9" t="s">
        <v>16</v>
      </c>
      <c r="H9" s="13" t="s">
        <v>17</v>
      </c>
      <c r="I9" s="13"/>
      <c r="J9" s="13"/>
    </row>
    <row r="10" spans="1:10" ht="16.5" customHeight="1">
      <c r="A10" s="26"/>
      <c r="B10" s="26"/>
      <c r="C10" s="26"/>
      <c r="D10" s="11" t="s">
        <v>28</v>
      </c>
      <c r="E10" s="3" t="s">
        <v>29</v>
      </c>
      <c r="F10">
        <v>5</v>
      </c>
      <c r="G10" t="s">
        <v>16</v>
      </c>
      <c r="H10" s="13" t="s">
        <v>17</v>
      </c>
      <c r="I10" s="13"/>
      <c r="J10" s="13" t="s">
        <v>30</v>
      </c>
    </row>
    <row r="11" spans="1:10" s="29" customFormat="1" ht="16.5" customHeight="1">
      <c r="A11" s="28">
        <v>2</v>
      </c>
      <c r="B11" s="28" t="s">
        <v>31</v>
      </c>
      <c r="C11" s="31" t="s">
        <v>32</v>
      </c>
      <c r="D11" s="12" t="s">
        <v>33</v>
      </c>
      <c r="E11" s="4" t="s">
        <v>34</v>
      </c>
      <c r="F11" s="32">
        <v>8</v>
      </c>
      <c r="G11" s="33" t="s">
        <v>16</v>
      </c>
      <c r="H11" s="30" t="s">
        <v>17</v>
      </c>
      <c r="I11" s="30"/>
      <c r="J11" s="30"/>
    </row>
    <row r="12" spans="1:10" s="29" customFormat="1" ht="16.5" customHeight="1">
      <c r="A12" s="28"/>
      <c r="B12" s="28"/>
      <c r="C12" s="31"/>
      <c r="D12" s="12" t="s">
        <v>35</v>
      </c>
      <c r="E12" s="4" t="s">
        <v>36</v>
      </c>
      <c r="F12" s="29">
        <v>8</v>
      </c>
      <c r="G12" s="29" t="s">
        <v>16</v>
      </c>
      <c r="H12" s="30" t="s">
        <v>17</v>
      </c>
      <c r="I12" s="30"/>
      <c r="J12" s="30"/>
    </row>
    <row r="13" spans="1:10" s="29" customFormat="1" ht="16.5" customHeight="1">
      <c r="A13" s="28"/>
      <c r="B13" s="28"/>
      <c r="C13" s="31"/>
      <c r="D13" s="12" t="s">
        <v>37</v>
      </c>
      <c r="E13" s="4" t="s">
        <v>38</v>
      </c>
      <c r="F13" s="29">
        <v>5</v>
      </c>
      <c r="G13" s="29" t="s">
        <v>16</v>
      </c>
      <c r="H13" s="30" t="s">
        <v>17</v>
      </c>
      <c r="I13" s="30"/>
      <c r="J13" s="30"/>
    </row>
    <row r="14" spans="1:10" s="38" customFormat="1" ht="16.5" customHeight="1">
      <c r="A14" s="34">
        <v>3</v>
      </c>
      <c r="B14" s="34" t="s">
        <v>39</v>
      </c>
      <c r="C14" s="35" t="s">
        <v>40</v>
      </c>
      <c r="D14" s="36" t="s">
        <v>41</v>
      </c>
      <c r="E14" s="37" t="s">
        <v>42</v>
      </c>
      <c r="F14" s="38">
        <v>5</v>
      </c>
      <c r="G14" s="38" t="s">
        <v>16</v>
      </c>
      <c r="H14" s="39" t="s">
        <v>43</v>
      </c>
      <c r="I14" s="39"/>
      <c r="J14" s="39" t="s">
        <v>44</v>
      </c>
    </row>
    <row r="15" spans="1:10" s="38" customFormat="1" ht="16.5" customHeight="1">
      <c r="A15" s="34"/>
      <c r="B15" s="34"/>
      <c r="C15" s="40"/>
      <c r="D15" s="36" t="s">
        <v>45</v>
      </c>
      <c r="E15" s="37" t="s">
        <v>46</v>
      </c>
      <c r="F15" s="38">
        <v>5</v>
      </c>
      <c r="G15" s="38" t="s">
        <v>16</v>
      </c>
      <c r="H15" s="39" t="s">
        <v>17</v>
      </c>
      <c r="I15" s="39"/>
      <c r="J15" s="39"/>
    </row>
    <row r="16" spans="1:10" s="38" customFormat="1" ht="16.5" customHeight="1">
      <c r="A16" s="34"/>
      <c r="B16" s="34"/>
      <c r="C16" s="40"/>
      <c r="D16" s="36" t="s">
        <v>47</v>
      </c>
      <c r="E16" s="37" t="s">
        <v>48</v>
      </c>
      <c r="F16" s="41">
        <v>5</v>
      </c>
      <c r="G16" s="42" t="s">
        <v>16</v>
      </c>
      <c r="H16" s="39" t="s">
        <v>17</v>
      </c>
      <c r="I16" s="39"/>
      <c r="J16" s="39"/>
    </row>
    <row r="17" spans="1:10" s="38" customFormat="1" ht="16.5" customHeight="1">
      <c r="A17" s="34"/>
      <c r="B17" s="34"/>
      <c r="C17" s="40"/>
      <c r="D17" s="36" t="s">
        <v>49</v>
      </c>
      <c r="E17" s="37" t="s">
        <v>50</v>
      </c>
      <c r="F17" s="38">
        <v>5</v>
      </c>
      <c r="G17" s="38" t="s">
        <v>16</v>
      </c>
      <c r="H17" s="39" t="s">
        <v>17</v>
      </c>
      <c r="I17" s="39"/>
      <c r="J17" s="39"/>
    </row>
    <row r="18" spans="1:10" s="38" customFormat="1" ht="16.5" customHeight="1">
      <c r="A18" s="34"/>
      <c r="B18" s="34"/>
      <c r="C18" s="40"/>
      <c r="D18" s="36" t="s">
        <v>51</v>
      </c>
      <c r="E18" s="37" t="s">
        <v>52</v>
      </c>
      <c r="F18" s="38">
        <v>8</v>
      </c>
      <c r="G18" s="38" t="s">
        <v>16</v>
      </c>
      <c r="H18" s="39" t="s">
        <v>17</v>
      </c>
      <c r="I18" s="39"/>
      <c r="J18" s="39"/>
    </row>
    <row r="19" spans="1:10" s="38" customFormat="1" ht="16.5" customHeight="1">
      <c r="A19" s="34"/>
      <c r="B19" s="34"/>
      <c r="C19" s="40"/>
      <c r="D19" s="36" t="s">
        <v>53</v>
      </c>
      <c r="E19" s="37" t="s">
        <v>54</v>
      </c>
      <c r="F19" s="38">
        <v>5</v>
      </c>
      <c r="G19" s="38" t="s">
        <v>16</v>
      </c>
      <c r="H19" s="39" t="s">
        <v>17</v>
      </c>
      <c r="I19" s="39"/>
      <c r="J19" s="39"/>
    </row>
    <row r="20" spans="1:10" s="38" customFormat="1" ht="16.5" customHeight="1">
      <c r="A20" s="34"/>
      <c r="B20" s="34"/>
      <c r="C20" s="40"/>
      <c r="D20" s="36" t="s">
        <v>55</v>
      </c>
      <c r="E20" s="37" t="s">
        <v>56</v>
      </c>
      <c r="F20" s="38">
        <v>5</v>
      </c>
      <c r="G20" s="38" t="s">
        <v>16</v>
      </c>
      <c r="H20" s="39" t="s">
        <v>17</v>
      </c>
      <c r="I20" s="39"/>
      <c r="J20" s="39"/>
    </row>
    <row r="21" spans="1:10" s="47" customFormat="1" ht="16.5" customHeight="1">
      <c r="A21" s="43">
        <v>4</v>
      </c>
      <c r="B21" s="43" t="s">
        <v>57</v>
      </c>
      <c r="C21" s="44" t="s">
        <v>108</v>
      </c>
      <c r="D21" s="45" t="s">
        <v>58</v>
      </c>
      <c r="E21" s="46" t="s">
        <v>59</v>
      </c>
      <c r="F21" s="47">
        <v>5</v>
      </c>
      <c r="G21" s="47" t="s">
        <v>16</v>
      </c>
      <c r="H21" s="48" t="s">
        <v>17</v>
      </c>
      <c r="I21" s="48"/>
      <c r="J21" s="48"/>
    </row>
    <row r="22" spans="1:10" s="47" customFormat="1" ht="16.5" customHeight="1">
      <c r="A22" s="43"/>
      <c r="B22" s="43"/>
      <c r="C22" s="49"/>
      <c r="D22" s="45" t="s">
        <v>60</v>
      </c>
      <c r="E22" s="46" t="s">
        <v>61</v>
      </c>
      <c r="F22" s="50">
        <v>5</v>
      </c>
      <c r="G22" s="51" t="s">
        <v>16</v>
      </c>
      <c r="H22" s="48" t="s">
        <v>17</v>
      </c>
      <c r="I22" s="48"/>
      <c r="J22" s="48"/>
    </row>
    <row r="23" spans="1:10" s="47" customFormat="1" ht="16.5" customHeight="1">
      <c r="A23" s="43"/>
      <c r="B23" s="43"/>
      <c r="C23" s="49"/>
      <c r="D23" s="45" t="s">
        <v>62</v>
      </c>
      <c r="E23" s="46" t="s">
        <v>107</v>
      </c>
      <c r="F23" s="47">
        <v>5</v>
      </c>
      <c r="G23" s="47" t="s">
        <v>16</v>
      </c>
      <c r="H23" s="48" t="s">
        <v>17</v>
      </c>
      <c r="I23" s="48"/>
      <c r="J23" s="48"/>
    </row>
    <row r="24" spans="1:10" s="47" customFormat="1" ht="16.5" customHeight="1">
      <c r="A24" s="43"/>
      <c r="B24" s="43"/>
      <c r="C24" s="49"/>
      <c r="D24" s="45" t="s">
        <v>63</v>
      </c>
      <c r="E24" s="46" t="s">
        <v>64</v>
      </c>
      <c r="F24" s="47">
        <v>8</v>
      </c>
      <c r="G24" s="47" t="s">
        <v>16</v>
      </c>
      <c r="H24" s="48" t="s">
        <v>17</v>
      </c>
      <c r="I24" s="48"/>
      <c r="J24" s="48"/>
    </row>
    <row r="25" spans="1:10" s="47" customFormat="1" ht="16.5" customHeight="1">
      <c r="A25" s="43"/>
      <c r="B25" s="43"/>
      <c r="C25" s="49"/>
      <c r="D25" s="45" t="s">
        <v>65</v>
      </c>
      <c r="E25" s="46" t="s">
        <v>66</v>
      </c>
      <c r="F25" s="47">
        <v>5</v>
      </c>
      <c r="G25" s="47" t="s">
        <v>16</v>
      </c>
      <c r="H25" s="48" t="s">
        <v>17</v>
      </c>
      <c r="I25" s="48"/>
      <c r="J25" s="48"/>
    </row>
    <row r="26" spans="1:10" ht="16.5" customHeight="1">
      <c r="D26" t="s">
        <v>67</v>
      </c>
      <c r="F26" s="6">
        <f>SUM(F5:F25)</f>
        <v>126</v>
      </c>
    </row>
    <row r="27" spans="1:10" ht="16.5" customHeight="1"/>
    <row r="28" spans="1:10" ht="16.5" customHeight="1">
      <c r="A28" t="s">
        <v>68</v>
      </c>
      <c r="B28" t="s">
        <v>69</v>
      </c>
    </row>
    <row r="29" spans="1:10" ht="16.5" customHeight="1">
      <c r="A29" t="s">
        <v>70</v>
      </c>
      <c r="B29" t="s">
        <v>71</v>
      </c>
    </row>
    <row r="30" spans="1:10" ht="16.5" customHeight="1">
      <c r="A30" t="s">
        <v>72</v>
      </c>
      <c r="B30" t="s">
        <v>73</v>
      </c>
    </row>
    <row r="31" spans="1:10" ht="16.5" customHeight="1">
      <c r="A31" t="s">
        <v>74</v>
      </c>
      <c r="B31" t="s">
        <v>75</v>
      </c>
    </row>
    <row r="32" spans="1:10" ht="16.5" customHeight="1">
      <c r="A32" t="s">
        <v>76</v>
      </c>
      <c r="B32" t="s">
        <v>77</v>
      </c>
    </row>
    <row r="33" spans="1:2" ht="16.5" customHeight="1">
      <c r="A33" t="s">
        <v>78</v>
      </c>
      <c r="B33" t="s">
        <v>79</v>
      </c>
    </row>
    <row r="34" spans="1:2" ht="16.5" customHeight="1">
      <c r="A34" t="s">
        <v>80</v>
      </c>
      <c r="B34" t="s">
        <v>81</v>
      </c>
    </row>
    <row r="35" spans="1:2" ht="16.5" customHeight="1"/>
    <row r="36" spans="1:2" ht="16.5" customHeight="1"/>
    <row r="37" spans="1:2" ht="16.5" customHeight="1"/>
    <row r="38" spans="1:2" ht="16.5" customHeight="1"/>
    <row r="39" spans="1:2" ht="16.5" customHeight="1"/>
    <row r="40" spans="1:2" ht="16.5" customHeight="1"/>
    <row r="41" spans="1:2" ht="16.5" customHeight="1"/>
    <row r="42" spans="1:2" ht="16.5" customHeight="1"/>
    <row r="43" spans="1:2" ht="16.5" customHeight="1"/>
    <row r="44" spans="1:2" ht="16.5" customHeight="1"/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5" customHeight="1"/>
  </sheetData>
  <mergeCells count="14">
    <mergeCell ref="D1:G2"/>
    <mergeCell ref="A11:A13"/>
    <mergeCell ref="C14:C20"/>
    <mergeCell ref="B5:B10"/>
    <mergeCell ref="B21:B25"/>
    <mergeCell ref="C5:C10"/>
    <mergeCell ref="A5:A10"/>
    <mergeCell ref="B14:B20"/>
    <mergeCell ref="A21:A25"/>
    <mergeCell ref="A14:A20"/>
    <mergeCell ref="A1:C2"/>
    <mergeCell ref="B11:B13"/>
    <mergeCell ref="C11:C13"/>
    <mergeCell ref="C21:C25"/>
  </mergeCells>
  <pageMargins left="0.70866141732283472" right="0.70866141732283472" top="0.74803149606299213" bottom="0.74803149606299213" header="0.31496062992125978" footer="0.31496062992125978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D10" sqref="D10"/>
    </sheetView>
  </sheetViews>
  <sheetFormatPr baseColWidth="10" defaultRowHeight="13.8"/>
  <cols>
    <col min="1" max="1" width="20.09765625" style="15" customWidth="1"/>
    <col min="2" max="2" width="26.69921875" style="15" customWidth="1"/>
    <col min="3" max="3" width="24.3984375" style="15" customWidth="1"/>
    <col min="4" max="4" width="25.19921875" style="15" customWidth="1"/>
    <col min="5" max="5" width="37.3984375" style="15" customWidth="1"/>
  </cols>
  <sheetData>
    <row r="1" spans="1:5" ht="30" customHeight="1">
      <c r="A1" s="9" t="s">
        <v>82</v>
      </c>
      <c r="B1" s="9" t="s">
        <v>83</v>
      </c>
      <c r="C1" s="9" t="s">
        <v>84</v>
      </c>
      <c r="D1" s="9" t="s">
        <v>85</v>
      </c>
      <c r="E1" s="9" t="s">
        <v>86</v>
      </c>
    </row>
    <row r="2" spans="1:5" ht="28.5" customHeight="1">
      <c r="A2" s="8" t="s">
        <v>87</v>
      </c>
      <c r="B2" s="8" t="s">
        <v>88</v>
      </c>
      <c r="C2" s="8" t="s">
        <v>89</v>
      </c>
      <c r="D2" s="8" t="s">
        <v>90</v>
      </c>
      <c r="E2" s="7" t="s">
        <v>91</v>
      </c>
    </row>
    <row r="3" spans="1:5" ht="29.25" customHeight="1">
      <c r="A3" s="8" t="s">
        <v>92</v>
      </c>
      <c r="B3" s="8" t="s">
        <v>93</v>
      </c>
      <c r="C3" s="8" t="s">
        <v>94</v>
      </c>
      <c r="D3" s="8" t="s">
        <v>95</v>
      </c>
      <c r="E3" s="7" t="s">
        <v>96</v>
      </c>
    </row>
    <row r="4" spans="1:5" ht="28.5" customHeight="1">
      <c r="A4" s="8" t="s">
        <v>97</v>
      </c>
      <c r="B4" s="8" t="s">
        <v>98</v>
      </c>
      <c r="C4" s="8" t="s">
        <v>99</v>
      </c>
      <c r="D4" s="8" t="s">
        <v>100</v>
      </c>
      <c r="E4" s="7" t="s">
        <v>101</v>
      </c>
    </row>
    <row r="5" spans="1:5" ht="28.5" customHeight="1">
      <c r="A5" s="8" t="s">
        <v>102</v>
      </c>
      <c r="B5" s="8" t="s">
        <v>103</v>
      </c>
      <c r="C5" s="8" t="s">
        <v>104</v>
      </c>
      <c r="D5" s="8" t="s">
        <v>105</v>
      </c>
      <c r="E5" s="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Octavio Bolivar Arambulo</dc:creator>
  <cp:lastModifiedBy>PI70836882 (Hidalgo Morales, Walter Jose)</cp:lastModifiedBy>
  <cp:lastPrinted>2026-02-27T14:20:53Z</cp:lastPrinted>
  <dcterms:created xsi:type="dcterms:W3CDTF">2026-02-27T05:20:37Z</dcterms:created>
  <dcterms:modified xsi:type="dcterms:W3CDTF">2026-04-14T13:17:38Z</dcterms:modified>
</cp:coreProperties>
</file>