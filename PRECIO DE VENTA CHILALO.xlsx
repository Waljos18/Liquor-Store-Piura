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-120" yWindow="-120" windowWidth="19440" windowHeight="7770"/>
  </bookViews>
  <sheets>
    <sheet name="Hoja6" sheetId="1" r:id="rId1"/>
    <sheet name="Hoja6 (2)" sheetId="2" state="hidden" r:id="rId2"/>
  </sheets>
  <definedNames>
    <definedName name="_xlnm._FilterDatabase" localSheetId="0" hidden="1">Hoja6!$A$3:$L$274</definedName>
    <definedName name="_xlnm._FilterDatabase" localSheetId="1" hidden="1">'Hoja6 (2)'!$A$3:$M$229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J28" i="1" l="1"/>
  <c r="L28" i="1"/>
  <c r="M28" i="1" s="1"/>
  <c r="L142" i="1"/>
  <c r="M142" i="1" s="1"/>
  <c r="L269" i="1"/>
  <c r="M269" i="1" s="1"/>
  <c r="L266" i="1"/>
  <c r="M266" i="1" s="1"/>
  <c r="L265" i="1"/>
  <c r="M265" i="1" s="1"/>
  <c r="L258" i="1"/>
  <c r="M258" i="1" s="1"/>
  <c r="E230" i="1"/>
  <c r="L210" i="1"/>
  <c r="L273" i="1"/>
  <c r="M273" i="1" s="1"/>
  <c r="L272" i="1"/>
  <c r="M272" i="1" s="1"/>
  <c r="L271" i="1"/>
  <c r="M271" i="1" s="1"/>
  <c r="L270" i="1"/>
  <c r="M270" i="1" s="1"/>
  <c r="L267" i="1"/>
  <c r="M267" i="1" s="1"/>
  <c r="L259" i="1"/>
  <c r="M259" i="1" s="1"/>
  <c r="L217" i="1"/>
  <c r="M217" i="1" s="1"/>
  <c r="L204" i="1"/>
  <c r="L205" i="1"/>
  <c r="M205" i="1" s="1"/>
  <c r="L206" i="1"/>
  <c r="M206" i="1" s="1"/>
  <c r="L207" i="1"/>
  <c r="L208" i="1"/>
  <c r="M208" i="1" s="1"/>
  <c r="L209" i="1"/>
  <c r="M209" i="1" s="1"/>
  <c r="L211" i="1"/>
  <c r="M211" i="1" s="1"/>
  <c r="L212" i="1"/>
  <c r="L213" i="1"/>
  <c r="M213" i="1" s="1"/>
  <c r="L214" i="1"/>
  <c r="L215" i="1"/>
  <c r="M215" i="1" s="1"/>
  <c r="L216" i="1"/>
  <c r="M216" i="1" s="1"/>
  <c r="L218" i="1"/>
  <c r="M218" i="1" s="1"/>
  <c r="L219" i="1"/>
  <c r="L220" i="1"/>
  <c r="M220" i="1" s="1"/>
  <c r="L221" i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60" i="1"/>
  <c r="M260" i="1" s="1"/>
  <c r="L261" i="1"/>
  <c r="M261" i="1" s="1"/>
  <c r="L262" i="1"/>
  <c r="M262" i="1" s="1"/>
  <c r="L263" i="1"/>
  <c r="M263" i="1" s="1"/>
  <c r="L264" i="1"/>
  <c r="M264" i="1" s="1"/>
  <c r="L268" i="1"/>
  <c r="M268" i="1" s="1"/>
  <c r="L274" i="1"/>
  <c r="M27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4" i="1"/>
  <c r="M4" i="1" s="1"/>
  <c r="O202" i="1"/>
  <c r="E228" i="1" l="1"/>
  <c r="M228" i="1" s="1"/>
  <c r="E214" i="1"/>
  <c r="M214" i="1" s="1"/>
  <c r="E212" i="1"/>
  <c r="M212" i="1" s="1"/>
  <c r="E210" i="1"/>
  <c r="M210" i="1" s="1"/>
  <c r="E207" i="1"/>
  <c r="M207" i="1" s="1"/>
  <c r="E204" i="1"/>
  <c r="M204" i="1" s="1"/>
  <c r="E251" i="1"/>
  <c r="E250" i="1"/>
  <c r="E249" i="1"/>
  <c r="E248" i="1"/>
  <c r="E246" i="1"/>
  <c r="E245" i="1"/>
  <c r="E240" i="1"/>
  <c r="M240" i="1" s="1"/>
  <c r="E226" i="1"/>
  <c r="E221" i="1"/>
  <c r="M221" i="1" s="1"/>
  <c r="E219" i="1"/>
  <c r="M219" i="1" s="1"/>
  <c r="E167" i="1"/>
  <c r="P203" i="1" l="1"/>
  <c r="H260" i="1" l="1"/>
  <c r="J123" i="1" l="1"/>
  <c r="J122" i="1"/>
  <c r="J82" i="1"/>
  <c r="J93" i="1" l="1"/>
  <c r="J48" i="1" l="1"/>
  <c r="J47" i="1"/>
  <c r="J67" i="1"/>
  <c r="J91" i="1"/>
  <c r="J86" i="1"/>
  <c r="J51" i="1"/>
  <c r="J50" i="1"/>
  <c r="J81" i="1"/>
  <c r="J99" i="1"/>
  <c r="J98" i="1"/>
  <c r="J49" i="1"/>
  <c r="G201" i="1" l="1"/>
  <c r="A58" i="1" l="1"/>
  <c r="A102" i="1" l="1"/>
  <c r="A101" i="1"/>
  <c r="A96" i="1"/>
  <c r="A204" i="1"/>
  <c r="A203" i="1"/>
  <c r="G81" i="1" l="1"/>
  <c r="A61" i="1"/>
  <c r="L174" i="2" l="1"/>
  <c r="M174" i="2" s="1"/>
  <c r="G154" i="1"/>
  <c r="F102" i="2"/>
  <c r="F103" i="2"/>
  <c r="F104" i="2"/>
  <c r="F105" i="2"/>
  <c r="K105" i="2" s="1"/>
  <c r="F106" i="2"/>
  <c r="K106" i="2" s="1"/>
  <c r="F107" i="2"/>
  <c r="F108" i="2"/>
  <c r="F109" i="2"/>
  <c r="K109" i="2" s="1"/>
  <c r="F110" i="2"/>
  <c r="F111" i="2"/>
  <c r="F112" i="2"/>
  <c r="F113" i="2"/>
  <c r="H113" i="2" s="1"/>
  <c r="F114" i="2"/>
  <c r="H114" i="2" s="1"/>
  <c r="F115" i="2"/>
  <c r="F116" i="2"/>
  <c r="F117" i="2"/>
  <c r="H117" i="2" s="1"/>
  <c r="F118" i="2"/>
  <c r="F119" i="2"/>
  <c r="F120" i="2"/>
  <c r="F121" i="2"/>
  <c r="O121" i="2" s="1"/>
  <c r="F122" i="2"/>
  <c r="O122" i="2" s="1"/>
  <c r="F123" i="2"/>
  <c r="F124" i="2"/>
  <c r="H124" i="2" s="1"/>
  <c r="F125" i="2"/>
  <c r="O125" i="2" s="1"/>
  <c r="F126" i="2"/>
  <c r="F127" i="2"/>
  <c r="F128" i="2"/>
  <c r="F129" i="2"/>
  <c r="O129" i="2" s="1"/>
  <c r="F130" i="2"/>
  <c r="F131" i="2"/>
  <c r="F132" i="2"/>
  <c r="F133" i="2"/>
  <c r="H133" i="2" s="1"/>
  <c r="F134" i="2"/>
  <c r="F135" i="2"/>
  <c r="F136" i="2"/>
  <c r="F137" i="2"/>
  <c r="O137" i="2" s="1"/>
  <c r="F138" i="2"/>
  <c r="H138" i="2" s="1"/>
  <c r="F139" i="2"/>
  <c r="F140" i="2"/>
  <c r="O140" i="2" s="1"/>
  <c r="F141" i="2"/>
  <c r="F142" i="2"/>
  <c r="F143" i="2"/>
  <c r="F144" i="2"/>
  <c r="F145" i="2"/>
  <c r="O145" i="2" s="1"/>
  <c r="F146" i="2"/>
  <c r="O146" i="2" s="1"/>
  <c r="F147" i="2"/>
  <c r="F148" i="2"/>
  <c r="H148" i="2" s="1"/>
  <c r="F149" i="2"/>
  <c r="H149" i="2" s="1"/>
  <c r="F150" i="2"/>
  <c r="F151" i="2"/>
  <c r="F152" i="2"/>
  <c r="F153" i="2"/>
  <c r="O153" i="2" s="1"/>
  <c r="F154" i="2"/>
  <c r="O154" i="2" s="1"/>
  <c r="F155" i="2"/>
  <c r="F156" i="2"/>
  <c r="O156" i="2" s="1"/>
  <c r="F157" i="2"/>
  <c r="O157" i="2" s="1"/>
  <c r="F158" i="2"/>
  <c r="F159" i="2"/>
  <c r="F160" i="2"/>
  <c r="F161" i="2"/>
  <c r="F162" i="2"/>
  <c r="H162" i="2" s="1"/>
  <c r="F163" i="2"/>
  <c r="F164" i="2"/>
  <c r="H164" i="2" s="1"/>
  <c r="F165" i="2"/>
  <c r="O165" i="2" s="1"/>
  <c r="F166" i="2"/>
  <c r="F167" i="2"/>
  <c r="F168" i="2"/>
  <c r="F169" i="2"/>
  <c r="F170" i="2"/>
  <c r="H170" i="2" s="1"/>
  <c r="F171" i="2"/>
  <c r="F172" i="2"/>
  <c r="H172" i="2" s="1"/>
  <c r="F173" i="2"/>
  <c r="F174" i="2"/>
  <c r="F175" i="2"/>
  <c r="F176" i="2"/>
  <c r="F177" i="2"/>
  <c r="H177" i="2" s="1"/>
  <c r="F178" i="2"/>
  <c r="H178" i="2" s="1"/>
  <c r="F179" i="2"/>
  <c r="F180" i="2"/>
  <c r="F181" i="2"/>
  <c r="H181" i="2" s="1"/>
  <c r="F182" i="2"/>
  <c r="F183" i="2"/>
  <c r="F184" i="2"/>
  <c r="F185" i="2"/>
  <c r="H185" i="2" s="1"/>
  <c r="F186" i="2"/>
  <c r="F187" i="2"/>
  <c r="F188" i="2"/>
  <c r="H188" i="2" s="1"/>
  <c r="F189" i="2"/>
  <c r="F190" i="2"/>
  <c r="F191" i="2"/>
  <c r="F192" i="2"/>
  <c r="F193" i="2"/>
  <c r="F194" i="2"/>
  <c r="F195" i="2"/>
  <c r="F196" i="2"/>
  <c r="H196" i="2" s="1"/>
  <c r="F197" i="2"/>
  <c r="O197" i="2" s="1"/>
  <c r="F198" i="2"/>
  <c r="F199" i="2"/>
  <c r="F200" i="2"/>
  <c r="F201" i="2"/>
  <c r="F202" i="2"/>
  <c r="O202" i="2" s="1"/>
  <c r="F203" i="2"/>
  <c r="F204" i="2"/>
  <c r="O204" i="2" s="1"/>
  <c r="F205" i="2"/>
  <c r="H205" i="2" s="1"/>
  <c r="F206" i="2"/>
  <c r="F207" i="2"/>
  <c r="F208" i="2"/>
  <c r="F209" i="2"/>
  <c r="O209" i="2" s="1"/>
  <c r="F210" i="2"/>
  <c r="O210" i="2" s="1"/>
  <c r="F211" i="2"/>
  <c r="F5" i="2"/>
  <c r="F6" i="2"/>
  <c r="F7" i="2"/>
  <c r="F8" i="2"/>
  <c r="F9" i="2"/>
  <c r="F10" i="2"/>
  <c r="F11" i="2"/>
  <c r="K11" i="2" s="1"/>
  <c r="F12" i="2"/>
  <c r="F13" i="2"/>
  <c r="F14" i="2"/>
  <c r="F15" i="2"/>
  <c r="F16" i="2"/>
  <c r="F17" i="2"/>
  <c r="F18" i="2"/>
  <c r="F19" i="2"/>
  <c r="H19" i="2" s="1"/>
  <c r="F20" i="2"/>
  <c r="F21" i="2"/>
  <c r="F22" i="2"/>
  <c r="F23" i="2"/>
  <c r="F24" i="2"/>
  <c r="F25" i="2"/>
  <c r="F26" i="2"/>
  <c r="F27" i="2"/>
  <c r="H27" i="2" s="1"/>
  <c r="F28" i="2"/>
  <c r="F29" i="2"/>
  <c r="F30" i="2"/>
  <c r="F31" i="2"/>
  <c r="F32" i="2"/>
  <c r="F33" i="2"/>
  <c r="F34" i="2"/>
  <c r="F35" i="2"/>
  <c r="H35" i="2" s="1"/>
  <c r="F36" i="2"/>
  <c r="F37" i="2"/>
  <c r="F38" i="2"/>
  <c r="F39" i="2"/>
  <c r="F40" i="2"/>
  <c r="F41" i="2"/>
  <c r="F42" i="2"/>
  <c r="F43" i="2"/>
  <c r="H43" i="2" s="1"/>
  <c r="F44" i="2"/>
  <c r="F45" i="2"/>
  <c r="F46" i="2"/>
  <c r="F47" i="2"/>
  <c r="F48" i="2"/>
  <c r="F49" i="2"/>
  <c r="F50" i="2"/>
  <c r="F51" i="2"/>
  <c r="H51" i="2" s="1"/>
  <c r="F52" i="2"/>
  <c r="F53" i="2"/>
  <c r="F54" i="2"/>
  <c r="F55" i="2"/>
  <c r="F56" i="2"/>
  <c r="F57" i="2"/>
  <c r="F58" i="2"/>
  <c r="F59" i="2"/>
  <c r="H59" i="2" s="1"/>
  <c r="F60" i="2"/>
  <c r="F61" i="2"/>
  <c r="F62" i="2"/>
  <c r="F63" i="2"/>
  <c r="F64" i="2"/>
  <c r="F65" i="2"/>
  <c r="F66" i="2"/>
  <c r="F67" i="2"/>
  <c r="K67" i="2" s="1"/>
  <c r="F68" i="2"/>
  <c r="F69" i="2"/>
  <c r="F70" i="2"/>
  <c r="F71" i="2"/>
  <c r="F72" i="2"/>
  <c r="F73" i="2"/>
  <c r="F74" i="2"/>
  <c r="F75" i="2"/>
  <c r="K75" i="2" s="1"/>
  <c r="F76" i="2"/>
  <c r="F77" i="2"/>
  <c r="F78" i="2"/>
  <c r="F79" i="2"/>
  <c r="F80" i="2"/>
  <c r="F81" i="2"/>
  <c r="F82" i="2"/>
  <c r="F83" i="2"/>
  <c r="O83" i="2" s="1"/>
  <c r="F84" i="2"/>
  <c r="F85" i="2"/>
  <c r="F86" i="2"/>
  <c r="F87" i="2"/>
  <c r="F88" i="2"/>
  <c r="F89" i="2"/>
  <c r="F90" i="2"/>
  <c r="F91" i="2"/>
  <c r="O91" i="2" s="1"/>
  <c r="F92" i="2"/>
  <c r="F93" i="2"/>
  <c r="F94" i="2"/>
  <c r="F95" i="2"/>
  <c r="F96" i="2"/>
  <c r="F97" i="2"/>
  <c r="F98" i="2"/>
  <c r="F99" i="2"/>
  <c r="O99" i="2" s="1"/>
  <c r="F100" i="2"/>
  <c r="F101" i="2"/>
  <c r="F4" i="2"/>
  <c r="M292" i="2"/>
  <c r="H292" i="2"/>
  <c r="G292" i="2"/>
  <c r="M291" i="2"/>
  <c r="H291" i="2"/>
  <c r="G291" i="2"/>
  <c r="M290" i="2"/>
  <c r="H290" i="2"/>
  <c r="G290" i="2"/>
  <c r="M289" i="2"/>
  <c r="H289" i="2"/>
  <c r="G289" i="2"/>
  <c r="M288" i="2"/>
  <c r="H288" i="2"/>
  <c r="G288" i="2"/>
  <c r="M287" i="2"/>
  <c r="H287" i="2"/>
  <c r="G287" i="2"/>
  <c r="M286" i="2"/>
  <c r="H286" i="2"/>
  <c r="G286" i="2"/>
  <c r="L285" i="2"/>
  <c r="M285" i="2" s="1"/>
  <c r="H285" i="2"/>
  <c r="G285" i="2"/>
  <c r="M283" i="2"/>
  <c r="H283" i="2"/>
  <c r="G283" i="2"/>
  <c r="M282" i="2"/>
  <c r="H282" i="2"/>
  <c r="G282" i="2"/>
  <c r="M281" i="2"/>
  <c r="H281" i="2"/>
  <c r="G281" i="2"/>
  <c r="M280" i="2"/>
  <c r="H280" i="2"/>
  <c r="G280" i="2"/>
  <c r="M279" i="2"/>
  <c r="H279" i="2"/>
  <c r="G279" i="2"/>
  <c r="M278" i="2"/>
  <c r="H278" i="2"/>
  <c r="G278" i="2"/>
  <c r="D278" i="2"/>
  <c r="M277" i="2"/>
  <c r="H277" i="2"/>
  <c r="G277" i="2"/>
  <c r="M276" i="2"/>
  <c r="L276" i="2"/>
  <c r="H276" i="2"/>
  <c r="G276" i="2"/>
  <c r="L275" i="2"/>
  <c r="M275" i="2" s="1"/>
  <c r="H275" i="2"/>
  <c r="G275" i="2"/>
  <c r="M274" i="2"/>
  <c r="L274" i="2"/>
  <c r="H274" i="2"/>
  <c r="G274" i="2"/>
  <c r="L273" i="2"/>
  <c r="M273" i="2" s="1"/>
  <c r="H273" i="2"/>
  <c r="G273" i="2"/>
  <c r="M272" i="2"/>
  <c r="L272" i="2"/>
  <c r="H272" i="2"/>
  <c r="G272" i="2"/>
  <c r="L271" i="2"/>
  <c r="M271" i="2" s="1"/>
  <c r="E271" i="2"/>
  <c r="H271" i="2" s="1"/>
  <c r="M270" i="2"/>
  <c r="E270" i="2"/>
  <c r="H270" i="2" s="1"/>
  <c r="M269" i="2"/>
  <c r="E269" i="2"/>
  <c r="H269" i="2" s="1"/>
  <c r="M267" i="2"/>
  <c r="E267" i="2"/>
  <c r="H267" i="2" s="1"/>
  <c r="L266" i="2"/>
  <c r="M266" i="2" s="1"/>
  <c r="H266" i="2"/>
  <c r="G266" i="2"/>
  <c r="E266" i="2"/>
  <c r="M265" i="2"/>
  <c r="H265" i="2"/>
  <c r="G265" i="2"/>
  <c r="M264" i="2"/>
  <c r="H264" i="2"/>
  <c r="G264" i="2"/>
  <c r="M263" i="2"/>
  <c r="H263" i="2"/>
  <c r="G263" i="2"/>
  <c r="M262" i="2"/>
  <c r="H262" i="2"/>
  <c r="G262" i="2"/>
  <c r="M261" i="2"/>
  <c r="H261" i="2"/>
  <c r="G261" i="2"/>
  <c r="I240" i="2"/>
  <c r="D238" i="2"/>
  <c r="E232" i="2"/>
  <c r="E233" i="2" s="1"/>
  <c r="C231" i="2"/>
  <c r="B231" i="2"/>
  <c r="H228" i="2"/>
  <c r="O227" i="2"/>
  <c r="H227" i="2"/>
  <c r="H226" i="2"/>
  <c r="O225" i="2"/>
  <c r="H225" i="2"/>
  <c r="O224" i="2"/>
  <c r="H224" i="2"/>
  <c r="O223" i="2"/>
  <c r="H223" i="2"/>
  <c r="O222" i="2"/>
  <c r="H222" i="2"/>
  <c r="O221" i="2"/>
  <c r="H221" i="2"/>
  <c r="O220" i="2"/>
  <c r="H220" i="2"/>
  <c r="O219" i="2"/>
  <c r="H219" i="2"/>
  <c r="O218" i="2"/>
  <c r="H218" i="2"/>
  <c r="O217" i="2"/>
  <c r="H217" i="2"/>
  <c r="O216" i="2"/>
  <c r="H216" i="2"/>
  <c r="O215" i="2"/>
  <c r="H215" i="2"/>
  <c r="O214" i="2"/>
  <c r="H214" i="2"/>
  <c r="O213" i="2"/>
  <c r="H213" i="2"/>
  <c r="P212" i="2"/>
  <c r="O212" i="2"/>
  <c r="H212" i="2"/>
  <c r="P211" i="2"/>
  <c r="O211" i="2"/>
  <c r="M211" i="2"/>
  <c r="H211" i="2"/>
  <c r="M210" i="2"/>
  <c r="H210" i="2"/>
  <c r="R209" i="2"/>
  <c r="M209" i="2"/>
  <c r="H209" i="2"/>
  <c r="O208" i="2"/>
  <c r="M208" i="2"/>
  <c r="H208" i="2"/>
  <c r="P207" i="2"/>
  <c r="O207" i="2"/>
  <c r="M207" i="2"/>
  <c r="H207" i="2"/>
  <c r="O206" i="2"/>
  <c r="M206" i="2"/>
  <c r="H206" i="2"/>
  <c r="M205" i="2"/>
  <c r="M204" i="2"/>
  <c r="O203" i="2"/>
  <c r="M203" i="2"/>
  <c r="H203" i="2"/>
  <c r="A203" i="2"/>
  <c r="M202" i="2"/>
  <c r="G202" i="2"/>
  <c r="O201" i="2"/>
  <c r="M201" i="2"/>
  <c r="H201" i="2"/>
  <c r="G201" i="2"/>
  <c r="O200" i="2"/>
  <c r="M200" i="2"/>
  <c r="H200" i="2"/>
  <c r="G200" i="2"/>
  <c r="O199" i="2"/>
  <c r="M199" i="2"/>
  <c r="H199" i="2"/>
  <c r="G199" i="2"/>
  <c r="O198" i="2"/>
  <c r="M198" i="2"/>
  <c r="H198" i="2"/>
  <c r="G198" i="2"/>
  <c r="M197" i="2"/>
  <c r="G197" i="2"/>
  <c r="L196" i="2"/>
  <c r="G196" i="2"/>
  <c r="L195" i="2"/>
  <c r="O195" i="2" s="1"/>
  <c r="H195" i="2"/>
  <c r="G195" i="2"/>
  <c r="M194" i="2"/>
  <c r="E194" i="2"/>
  <c r="H194" i="2" s="1"/>
  <c r="M193" i="2"/>
  <c r="E193" i="2"/>
  <c r="M192" i="2"/>
  <c r="H192" i="2"/>
  <c r="E192" i="2"/>
  <c r="M191" i="2"/>
  <c r="E191" i="2"/>
  <c r="H191" i="2" s="1"/>
  <c r="M190" i="2"/>
  <c r="H190" i="2"/>
  <c r="E190" i="2"/>
  <c r="M189" i="2"/>
  <c r="E189" i="2"/>
  <c r="M188" i="2"/>
  <c r="G188" i="2"/>
  <c r="O187" i="2"/>
  <c r="M187" i="2"/>
  <c r="H187" i="2"/>
  <c r="G187" i="2"/>
  <c r="M186" i="2"/>
  <c r="H186" i="2"/>
  <c r="G186" i="2"/>
  <c r="O185" i="2"/>
  <c r="M185" i="2"/>
  <c r="G185" i="2"/>
  <c r="M184" i="2"/>
  <c r="H184" i="2"/>
  <c r="G184" i="2"/>
  <c r="E183" i="2"/>
  <c r="H183" i="2" s="1"/>
  <c r="M182" i="2"/>
  <c r="H182" i="2"/>
  <c r="G182" i="2"/>
  <c r="L181" i="2"/>
  <c r="G181" i="2"/>
  <c r="L180" i="2"/>
  <c r="O180" i="2" s="1"/>
  <c r="I180" i="2"/>
  <c r="M180" i="2" s="1"/>
  <c r="P180" i="2" s="1"/>
  <c r="H180" i="2"/>
  <c r="G180" i="2"/>
  <c r="O179" i="2"/>
  <c r="M179" i="2"/>
  <c r="H179" i="2"/>
  <c r="G179" i="2"/>
  <c r="O178" i="2"/>
  <c r="M178" i="2"/>
  <c r="G178" i="2"/>
  <c r="Q177" i="2"/>
  <c r="L177" i="2"/>
  <c r="G177" i="2"/>
  <c r="D177" i="2"/>
  <c r="O176" i="2"/>
  <c r="L176" i="2"/>
  <c r="M176" i="2" s="1"/>
  <c r="H176" i="2"/>
  <c r="G176" i="2"/>
  <c r="A176" i="2"/>
  <c r="M175" i="2"/>
  <c r="H175" i="2"/>
  <c r="G175" i="2"/>
  <c r="L173" i="2"/>
  <c r="M173" i="2" s="1"/>
  <c r="L172" i="2"/>
  <c r="I172" i="2"/>
  <c r="M172" i="2" s="1"/>
  <c r="N172" i="2" s="1"/>
  <c r="G172" i="2"/>
  <c r="L171" i="2"/>
  <c r="O171" i="2" s="1"/>
  <c r="I171" i="2"/>
  <c r="M171" i="2" s="1"/>
  <c r="H171" i="2"/>
  <c r="G171" i="2"/>
  <c r="Q170" i="2"/>
  <c r="L170" i="2"/>
  <c r="G170" i="2"/>
  <c r="M169" i="2"/>
  <c r="H169" i="2"/>
  <c r="G169" i="2"/>
  <c r="M168" i="2"/>
  <c r="H168" i="2"/>
  <c r="G168" i="2"/>
  <c r="O167" i="2"/>
  <c r="M167" i="2"/>
  <c r="H167" i="2"/>
  <c r="G167" i="2"/>
  <c r="O166" i="2"/>
  <c r="M166" i="2"/>
  <c r="H166" i="2"/>
  <c r="G166" i="2"/>
  <c r="M165" i="2"/>
  <c r="G165" i="2"/>
  <c r="T164" i="2"/>
  <c r="Q164" i="2"/>
  <c r="O164" i="2"/>
  <c r="M164" i="2"/>
  <c r="G164" i="2"/>
  <c r="O163" i="2"/>
  <c r="M163" i="2"/>
  <c r="H163" i="2"/>
  <c r="G163" i="2"/>
  <c r="O162" i="2"/>
  <c r="M162" i="2"/>
  <c r="G162" i="2"/>
  <c r="P161" i="2"/>
  <c r="O161" i="2"/>
  <c r="M161" i="2"/>
  <c r="H161" i="2"/>
  <c r="G161" i="2"/>
  <c r="O160" i="2"/>
  <c r="M160" i="2"/>
  <c r="H160" i="2"/>
  <c r="G160" i="2"/>
  <c r="O159" i="2"/>
  <c r="M159" i="2"/>
  <c r="H159" i="2"/>
  <c r="G159" i="2"/>
  <c r="R158" i="2"/>
  <c r="O158" i="2"/>
  <c r="M158" i="2"/>
  <c r="H158" i="2"/>
  <c r="G158" i="2"/>
  <c r="M157" i="2"/>
  <c r="H157" i="2"/>
  <c r="G157" i="2"/>
  <c r="M156" i="2"/>
  <c r="H156" i="2"/>
  <c r="G156" i="2"/>
  <c r="O155" i="2"/>
  <c r="M155" i="2"/>
  <c r="H155" i="2"/>
  <c r="G155" i="2"/>
  <c r="M154" i="2"/>
  <c r="G154" i="2"/>
  <c r="M153" i="2"/>
  <c r="H153" i="2"/>
  <c r="G153" i="2"/>
  <c r="O152" i="2"/>
  <c r="M152" i="2"/>
  <c r="I152" i="2"/>
  <c r="H152" i="2"/>
  <c r="G152" i="2"/>
  <c r="S151" i="2"/>
  <c r="O151" i="2"/>
  <c r="I151" i="2"/>
  <c r="M151" i="2" s="1"/>
  <c r="H151" i="2"/>
  <c r="G151" i="2"/>
  <c r="O150" i="2"/>
  <c r="M150" i="2"/>
  <c r="H150" i="2"/>
  <c r="G150" i="2"/>
  <c r="O149" i="2"/>
  <c r="M149" i="2"/>
  <c r="G149" i="2"/>
  <c r="O148" i="2"/>
  <c r="M148" i="2"/>
  <c r="G148" i="2"/>
  <c r="Q147" i="2"/>
  <c r="O147" i="2"/>
  <c r="M147" i="2"/>
  <c r="I147" i="2"/>
  <c r="H147" i="2"/>
  <c r="G147" i="2"/>
  <c r="M146" i="2"/>
  <c r="H146" i="2"/>
  <c r="G146" i="2"/>
  <c r="M145" i="2"/>
  <c r="H145" i="2"/>
  <c r="G145" i="2"/>
  <c r="O144" i="2"/>
  <c r="M144" i="2"/>
  <c r="E144" i="2"/>
  <c r="H144" i="2" s="1"/>
  <c r="O142" i="2"/>
  <c r="L142" i="2"/>
  <c r="M142" i="2" s="1"/>
  <c r="H142" i="2"/>
  <c r="G142" i="2"/>
  <c r="O141" i="2"/>
  <c r="N141" i="2"/>
  <c r="I141" i="2"/>
  <c r="M141" i="2" s="1"/>
  <c r="H141" i="2"/>
  <c r="G141" i="2"/>
  <c r="M140" i="2"/>
  <c r="H140" i="2"/>
  <c r="G140" i="2"/>
  <c r="O139" i="2"/>
  <c r="M139" i="2"/>
  <c r="H139" i="2"/>
  <c r="G139" i="2"/>
  <c r="M138" i="2"/>
  <c r="G138" i="2"/>
  <c r="M137" i="2"/>
  <c r="H137" i="2"/>
  <c r="G137" i="2"/>
  <c r="O136" i="2"/>
  <c r="M136" i="2"/>
  <c r="H136" i="2"/>
  <c r="G136" i="2"/>
  <c r="O135" i="2"/>
  <c r="M135" i="2"/>
  <c r="H135" i="2"/>
  <c r="G135" i="2"/>
  <c r="L134" i="2"/>
  <c r="O134" i="2" s="1"/>
  <c r="H134" i="2"/>
  <c r="G134" i="2"/>
  <c r="M133" i="2"/>
  <c r="M132" i="2"/>
  <c r="H132" i="2"/>
  <c r="O131" i="2"/>
  <c r="M131" i="2"/>
  <c r="H131" i="2"/>
  <c r="G131" i="2"/>
  <c r="O130" i="2"/>
  <c r="L130" i="2"/>
  <c r="I130" i="2"/>
  <c r="M130" i="2" s="1"/>
  <c r="H130" i="2"/>
  <c r="G130" i="2"/>
  <c r="M129" i="2"/>
  <c r="H129" i="2"/>
  <c r="G129" i="2"/>
  <c r="O128" i="2"/>
  <c r="M128" i="2"/>
  <c r="H128" i="2"/>
  <c r="G128" i="2"/>
  <c r="L127" i="2"/>
  <c r="O127" i="2" s="1"/>
  <c r="H127" i="2"/>
  <c r="G127" i="2"/>
  <c r="Q126" i="2"/>
  <c r="L126" i="2"/>
  <c r="O126" i="2" s="1"/>
  <c r="I126" i="2"/>
  <c r="M126" i="2" s="1"/>
  <c r="H126" i="2"/>
  <c r="G126" i="2"/>
  <c r="L125" i="2"/>
  <c r="M125" i="2" s="1"/>
  <c r="G125" i="2"/>
  <c r="R124" i="2"/>
  <c r="O124" i="2"/>
  <c r="L124" i="2"/>
  <c r="M124" i="2" s="1"/>
  <c r="G124" i="2"/>
  <c r="O123" i="2"/>
  <c r="M123" i="2"/>
  <c r="H123" i="2"/>
  <c r="G123" i="2"/>
  <c r="M122" i="2"/>
  <c r="G122" i="2"/>
  <c r="M121" i="2"/>
  <c r="H121" i="2"/>
  <c r="G121" i="2"/>
  <c r="O120" i="2"/>
  <c r="M120" i="2"/>
  <c r="H120" i="2"/>
  <c r="G120" i="2"/>
  <c r="O119" i="2"/>
  <c r="M119" i="2"/>
  <c r="K119" i="2"/>
  <c r="H119" i="2"/>
  <c r="G119" i="2"/>
  <c r="O118" i="2"/>
  <c r="M118" i="2"/>
  <c r="K118" i="2"/>
  <c r="H118" i="2"/>
  <c r="G118" i="2"/>
  <c r="M117" i="2"/>
  <c r="M116" i="2"/>
  <c r="H116" i="2"/>
  <c r="G116" i="2"/>
  <c r="M115" i="2"/>
  <c r="H115" i="2"/>
  <c r="G115" i="2"/>
  <c r="M114" i="2"/>
  <c r="G114" i="2"/>
  <c r="M113" i="2"/>
  <c r="G113" i="2"/>
  <c r="M112" i="2"/>
  <c r="H112" i="2"/>
  <c r="G112" i="2"/>
  <c r="O111" i="2"/>
  <c r="M111" i="2"/>
  <c r="K111" i="2"/>
  <c r="H111" i="2"/>
  <c r="G111" i="2"/>
  <c r="O110" i="2"/>
  <c r="M110" i="2"/>
  <c r="K110" i="2"/>
  <c r="H110" i="2"/>
  <c r="G110" i="2"/>
  <c r="O109" i="2"/>
  <c r="M109" i="2"/>
  <c r="G109" i="2"/>
  <c r="O108" i="2"/>
  <c r="M108" i="2"/>
  <c r="K108" i="2"/>
  <c r="H108" i="2"/>
  <c r="G108" i="2"/>
  <c r="O107" i="2"/>
  <c r="M107" i="2"/>
  <c r="K107" i="2"/>
  <c r="H107" i="2"/>
  <c r="G107" i="2"/>
  <c r="M106" i="2"/>
  <c r="G106" i="2"/>
  <c r="O105" i="2"/>
  <c r="M105" i="2"/>
  <c r="H105" i="2"/>
  <c r="G105" i="2"/>
  <c r="O104" i="2"/>
  <c r="M104" i="2"/>
  <c r="K104" i="2"/>
  <c r="H104" i="2"/>
  <c r="G104" i="2"/>
  <c r="O103" i="2"/>
  <c r="M103" i="2"/>
  <c r="K103" i="2"/>
  <c r="H103" i="2"/>
  <c r="G103" i="2"/>
  <c r="M102" i="2"/>
  <c r="K102" i="2"/>
  <c r="H102" i="2"/>
  <c r="G102" i="2"/>
  <c r="O101" i="2"/>
  <c r="M101" i="2"/>
  <c r="K101" i="2"/>
  <c r="H101" i="2"/>
  <c r="G101" i="2"/>
  <c r="O100" i="2"/>
  <c r="M100" i="2"/>
  <c r="K100" i="2"/>
  <c r="H100" i="2"/>
  <c r="G100" i="2"/>
  <c r="M99" i="2"/>
  <c r="G99" i="2"/>
  <c r="O98" i="2"/>
  <c r="M98" i="2"/>
  <c r="K98" i="2"/>
  <c r="H98" i="2"/>
  <c r="G98" i="2"/>
  <c r="O97" i="2"/>
  <c r="M97" i="2"/>
  <c r="K97" i="2"/>
  <c r="H97" i="2"/>
  <c r="G97" i="2"/>
  <c r="O96" i="2"/>
  <c r="M96" i="2"/>
  <c r="K96" i="2"/>
  <c r="H96" i="2"/>
  <c r="G96" i="2"/>
  <c r="O95" i="2"/>
  <c r="M95" i="2"/>
  <c r="K95" i="2"/>
  <c r="H95" i="2"/>
  <c r="G95" i="2"/>
  <c r="O94" i="2"/>
  <c r="M94" i="2"/>
  <c r="K94" i="2"/>
  <c r="H94" i="2"/>
  <c r="G94" i="2"/>
  <c r="O93" i="2"/>
  <c r="M93" i="2"/>
  <c r="K93" i="2"/>
  <c r="H93" i="2"/>
  <c r="G93" i="2"/>
  <c r="O92" i="2"/>
  <c r="M92" i="2"/>
  <c r="K92" i="2"/>
  <c r="H92" i="2"/>
  <c r="G92" i="2"/>
  <c r="M91" i="2"/>
  <c r="G91" i="2"/>
  <c r="O90" i="2"/>
  <c r="M90" i="2"/>
  <c r="K90" i="2"/>
  <c r="H90" i="2"/>
  <c r="G90" i="2"/>
  <c r="O89" i="2"/>
  <c r="M89" i="2"/>
  <c r="K89" i="2"/>
  <c r="H89" i="2"/>
  <c r="G89" i="2"/>
  <c r="O88" i="2"/>
  <c r="M88" i="2"/>
  <c r="K88" i="2"/>
  <c r="H88" i="2"/>
  <c r="G88" i="2"/>
  <c r="O87" i="2"/>
  <c r="M87" i="2"/>
  <c r="K87" i="2"/>
  <c r="H87" i="2"/>
  <c r="G87" i="2"/>
  <c r="O86" i="2"/>
  <c r="M86" i="2"/>
  <c r="K86" i="2"/>
  <c r="H86" i="2"/>
  <c r="G86" i="2"/>
  <c r="O85" i="2"/>
  <c r="M85" i="2"/>
  <c r="K85" i="2"/>
  <c r="H85" i="2"/>
  <c r="G85" i="2"/>
  <c r="O84" i="2"/>
  <c r="M84" i="2"/>
  <c r="K84" i="2"/>
  <c r="H84" i="2"/>
  <c r="G84" i="2"/>
  <c r="M83" i="2"/>
  <c r="E83" i="2"/>
  <c r="O82" i="2"/>
  <c r="M82" i="2"/>
  <c r="K82" i="2"/>
  <c r="H82" i="2"/>
  <c r="G82" i="2"/>
  <c r="O81" i="2"/>
  <c r="M81" i="2"/>
  <c r="K81" i="2"/>
  <c r="H81" i="2"/>
  <c r="G81" i="2"/>
  <c r="O80" i="2"/>
  <c r="M80" i="2"/>
  <c r="K80" i="2"/>
  <c r="I80" i="2"/>
  <c r="H80" i="2"/>
  <c r="G80" i="2"/>
  <c r="K79" i="2"/>
  <c r="H79" i="2"/>
  <c r="G79" i="2"/>
  <c r="O78" i="2"/>
  <c r="M78" i="2"/>
  <c r="K78" i="2"/>
  <c r="H78" i="2"/>
  <c r="G78" i="2"/>
  <c r="O77" i="2"/>
  <c r="M77" i="2"/>
  <c r="K77" i="2"/>
  <c r="E77" i="2"/>
  <c r="H77" i="2" s="1"/>
  <c r="O76" i="2"/>
  <c r="M76" i="2"/>
  <c r="K76" i="2"/>
  <c r="H76" i="2"/>
  <c r="G76" i="2"/>
  <c r="M75" i="2"/>
  <c r="G75" i="2"/>
  <c r="O74" i="2"/>
  <c r="M74" i="2"/>
  <c r="K74" i="2"/>
  <c r="H74" i="2"/>
  <c r="G74" i="2"/>
  <c r="O73" i="2"/>
  <c r="M73" i="2"/>
  <c r="K73" i="2"/>
  <c r="H73" i="2"/>
  <c r="G73" i="2"/>
  <c r="O72" i="2"/>
  <c r="M72" i="2"/>
  <c r="K72" i="2"/>
  <c r="H72" i="2"/>
  <c r="G72" i="2"/>
  <c r="O71" i="2"/>
  <c r="M71" i="2"/>
  <c r="K71" i="2"/>
  <c r="H71" i="2"/>
  <c r="G71" i="2"/>
  <c r="O70" i="2"/>
  <c r="M70" i="2"/>
  <c r="K70" i="2"/>
  <c r="H70" i="2"/>
  <c r="G70" i="2"/>
  <c r="O69" i="2"/>
  <c r="M69" i="2"/>
  <c r="K69" i="2"/>
  <c r="H69" i="2"/>
  <c r="G69" i="2"/>
  <c r="O68" i="2"/>
  <c r="M68" i="2"/>
  <c r="K68" i="2"/>
  <c r="H68" i="2"/>
  <c r="G68" i="2"/>
  <c r="M67" i="2"/>
  <c r="G67" i="2"/>
  <c r="O66" i="2"/>
  <c r="M66" i="2"/>
  <c r="K66" i="2"/>
  <c r="H66" i="2"/>
  <c r="G66" i="2"/>
  <c r="O65" i="2"/>
  <c r="M65" i="2"/>
  <c r="K65" i="2"/>
  <c r="H65" i="2"/>
  <c r="G65" i="2"/>
  <c r="O64" i="2"/>
  <c r="M64" i="2"/>
  <c r="K64" i="2"/>
  <c r="H64" i="2"/>
  <c r="G64" i="2"/>
  <c r="O63" i="2"/>
  <c r="M63" i="2"/>
  <c r="K63" i="2"/>
  <c r="H63" i="2"/>
  <c r="G63" i="2"/>
  <c r="O62" i="2"/>
  <c r="M62" i="2"/>
  <c r="K62" i="2"/>
  <c r="H62" i="2"/>
  <c r="G62" i="2"/>
  <c r="A62" i="2"/>
  <c r="O61" i="2"/>
  <c r="M61" i="2"/>
  <c r="K61" i="2"/>
  <c r="H61" i="2"/>
  <c r="G61" i="2"/>
  <c r="H60" i="2"/>
  <c r="G60" i="2"/>
  <c r="M59" i="2"/>
  <c r="G59" i="2"/>
  <c r="O58" i="2"/>
  <c r="M58" i="2"/>
  <c r="K58" i="2"/>
  <c r="H58" i="2"/>
  <c r="G58" i="2"/>
  <c r="O57" i="2"/>
  <c r="M57" i="2"/>
  <c r="K57" i="2"/>
  <c r="H57" i="2"/>
  <c r="G57" i="2"/>
  <c r="O56" i="2"/>
  <c r="M56" i="2"/>
  <c r="K56" i="2"/>
  <c r="H56" i="2"/>
  <c r="G56" i="2"/>
  <c r="O55" i="2"/>
  <c r="M55" i="2"/>
  <c r="K55" i="2"/>
  <c r="H55" i="2"/>
  <c r="G55" i="2"/>
  <c r="O54" i="2"/>
  <c r="M54" i="2"/>
  <c r="K54" i="2"/>
  <c r="H54" i="2"/>
  <c r="G54" i="2"/>
  <c r="O53" i="2"/>
  <c r="M53" i="2"/>
  <c r="K53" i="2"/>
  <c r="H53" i="2"/>
  <c r="G53" i="2"/>
  <c r="O52" i="2"/>
  <c r="M52" i="2"/>
  <c r="K52" i="2"/>
  <c r="H52" i="2"/>
  <c r="G52" i="2"/>
  <c r="M51" i="2"/>
  <c r="G51" i="2"/>
  <c r="O50" i="2"/>
  <c r="M50" i="2"/>
  <c r="K50" i="2"/>
  <c r="H50" i="2"/>
  <c r="G50" i="2"/>
  <c r="O49" i="2"/>
  <c r="M49" i="2"/>
  <c r="K49" i="2"/>
  <c r="H49" i="2"/>
  <c r="G49" i="2"/>
  <c r="O48" i="2"/>
  <c r="M48" i="2"/>
  <c r="K48" i="2"/>
  <c r="H48" i="2"/>
  <c r="G48" i="2"/>
  <c r="O47" i="2"/>
  <c r="M47" i="2"/>
  <c r="K47" i="2"/>
  <c r="H47" i="2"/>
  <c r="G47" i="2"/>
  <c r="O46" i="2"/>
  <c r="M46" i="2"/>
  <c r="K46" i="2"/>
  <c r="H46" i="2"/>
  <c r="G46" i="2"/>
  <c r="O45" i="2"/>
  <c r="M45" i="2"/>
  <c r="K45" i="2"/>
  <c r="H45" i="2"/>
  <c r="G45" i="2"/>
  <c r="O44" i="2"/>
  <c r="M44" i="2"/>
  <c r="K44" i="2"/>
  <c r="H44" i="2"/>
  <c r="G44" i="2"/>
  <c r="M43" i="2"/>
  <c r="G43" i="2"/>
  <c r="O42" i="2"/>
  <c r="M42" i="2"/>
  <c r="K42" i="2"/>
  <c r="H42" i="2"/>
  <c r="G42" i="2"/>
  <c r="O41" i="2"/>
  <c r="M41" i="2"/>
  <c r="K41" i="2"/>
  <c r="H41" i="2"/>
  <c r="G41" i="2"/>
  <c r="O40" i="2"/>
  <c r="M40" i="2"/>
  <c r="K40" i="2"/>
  <c r="H40" i="2"/>
  <c r="G40" i="2"/>
  <c r="O39" i="2"/>
  <c r="M39" i="2"/>
  <c r="K39" i="2"/>
  <c r="H39" i="2"/>
  <c r="G39" i="2"/>
  <c r="O38" i="2"/>
  <c r="M38" i="2"/>
  <c r="K38" i="2"/>
  <c r="H38" i="2"/>
  <c r="G38" i="2"/>
  <c r="O37" i="2"/>
  <c r="M37" i="2"/>
  <c r="K37" i="2"/>
  <c r="H37" i="2"/>
  <c r="G37" i="2"/>
  <c r="O36" i="2"/>
  <c r="M36" i="2"/>
  <c r="K36" i="2"/>
  <c r="H36" i="2"/>
  <c r="G36" i="2"/>
  <c r="M35" i="2"/>
  <c r="G35" i="2"/>
  <c r="O34" i="2"/>
  <c r="M34" i="2"/>
  <c r="K34" i="2"/>
  <c r="H34" i="2"/>
  <c r="G34" i="2"/>
  <c r="O33" i="2"/>
  <c r="M33" i="2"/>
  <c r="K33" i="2"/>
  <c r="H33" i="2"/>
  <c r="G33" i="2"/>
  <c r="O32" i="2"/>
  <c r="M32" i="2"/>
  <c r="K32" i="2"/>
  <c r="H32" i="2"/>
  <c r="G32" i="2"/>
  <c r="O31" i="2"/>
  <c r="M31" i="2"/>
  <c r="K31" i="2"/>
  <c r="H31" i="2"/>
  <c r="G31" i="2"/>
  <c r="O30" i="2"/>
  <c r="M30" i="2"/>
  <c r="K30" i="2"/>
  <c r="H30" i="2"/>
  <c r="G30" i="2"/>
  <c r="O29" i="2"/>
  <c r="M29" i="2"/>
  <c r="K29" i="2"/>
  <c r="H29" i="2"/>
  <c r="G29" i="2"/>
  <c r="O28" i="2"/>
  <c r="M28" i="2"/>
  <c r="K28" i="2"/>
  <c r="H28" i="2"/>
  <c r="G28" i="2"/>
  <c r="M27" i="2"/>
  <c r="G27" i="2"/>
  <c r="O26" i="2"/>
  <c r="M26" i="2"/>
  <c r="K26" i="2"/>
  <c r="H26" i="2"/>
  <c r="G26" i="2"/>
  <c r="O25" i="2"/>
  <c r="M25" i="2"/>
  <c r="K25" i="2"/>
  <c r="H25" i="2"/>
  <c r="G25" i="2"/>
  <c r="O24" i="2"/>
  <c r="M24" i="2"/>
  <c r="K24" i="2"/>
  <c r="H24" i="2"/>
  <c r="G24" i="2"/>
  <c r="O23" i="2"/>
  <c r="M23" i="2"/>
  <c r="K23" i="2"/>
  <c r="H23" i="2"/>
  <c r="G23" i="2"/>
  <c r="O22" i="2"/>
  <c r="M22" i="2"/>
  <c r="K22" i="2"/>
  <c r="H22" i="2"/>
  <c r="G22" i="2"/>
  <c r="O21" i="2"/>
  <c r="M21" i="2"/>
  <c r="K21" i="2"/>
  <c r="H21" i="2"/>
  <c r="G21" i="2"/>
  <c r="O20" i="2"/>
  <c r="M20" i="2"/>
  <c r="K20" i="2"/>
  <c r="H20" i="2"/>
  <c r="G20" i="2"/>
  <c r="M19" i="2"/>
  <c r="G19" i="2"/>
  <c r="O18" i="2"/>
  <c r="M18" i="2"/>
  <c r="K18" i="2"/>
  <c r="H18" i="2"/>
  <c r="G18" i="2"/>
  <c r="O17" i="2"/>
  <c r="M17" i="2"/>
  <c r="K17" i="2"/>
  <c r="H17" i="2"/>
  <c r="G17" i="2"/>
  <c r="T16" i="2"/>
  <c r="O16" i="2"/>
  <c r="M16" i="2"/>
  <c r="K16" i="2"/>
  <c r="H16" i="2"/>
  <c r="G16" i="2"/>
  <c r="T15" i="2"/>
  <c r="O15" i="2"/>
  <c r="M15" i="2"/>
  <c r="K15" i="2"/>
  <c r="H15" i="2"/>
  <c r="G15" i="2"/>
  <c r="O14" i="2"/>
  <c r="M14" i="2"/>
  <c r="K14" i="2"/>
  <c r="H14" i="2"/>
  <c r="G14" i="2"/>
  <c r="O13" i="2"/>
  <c r="M13" i="2"/>
  <c r="K13" i="2"/>
  <c r="H13" i="2"/>
  <c r="G13" i="2"/>
  <c r="O12" i="2"/>
  <c r="M12" i="2"/>
  <c r="K12" i="2"/>
  <c r="H12" i="2"/>
  <c r="G12" i="2"/>
  <c r="M11" i="2"/>
  <c r="G11" i="2"/>
  <c r="O10" i="2"/>
  <c r="M10" i="2"/>
  <c r="K10" i="2"/>
  <c r="H10" i="2"/>
  <c r="G10" i="2"/>
  <c r="O9" i="2"/>
  <c r="M9" i="2"/>
  <c r="K9" i="2"/>
  <c r="H9" i="2"/>
  <c r="G9" i="2"/>
  <c r="O8" i="2"/>
  <c r="M8" i="2"/>
  <c r="K8" i="2"/>
  <c r="H8" i="2"/>
  <c r="G8" i="2"/>
  <c r="O7" i="2"/>
  <c r="M7" i="2"/>
  <c r="K7" i="2"/>
  <c r="H7" i="2"/>
  <c r="G7" i="2"/>
  <c r="O6" i="2"/>
  <c r="M6" i="2"/>
  <c r="K6" i="2"/>
  <c r="H6" i="2"/>
  <c r="G6" i="2"/>
  <c r="O5" i="2"/>
  <c r="M5" i="2"/>
  <c r="K5" i="2"/>
  <c r="H5" i="2"/>
  <c r="G5" i="2"/>
  <c r="O4" i="2"/>
  <c r="M4" i="2"/>
  <c r="K4" i="2"/>
  <c r="H4" i="2"/>
  <c r="G4" i="2"/>
  <c r="G293" i="2" s="1"/>
  <c r="O106" i="2" l="1"/>
  <c r="H197" i="2"/>
  <c r="O205" i="2"/>
  <c r="K121" i="2"/>
  <c r="H165" i="2"/>
  <c r="H204" i="2"/>
  <c r="H109" i="2"/>
  <c r="H202" i="2"/>
  <c r="H125" i="2"/>
  <c r="H154" i="2"/>
  <c r="H106" i="2"/>
  <c r="O138" i="2"/>
  <c r="O177" i="2"/>
  <c r="O181" i="2"/>
  <c r="H193" i="2"/>
  <c r="H189" i="2"/>
  <c r="O170" i="2"/>
  <c r="O196" i="2"/>
  <c r="O11" i="2"/>
  <c r="O229" i="2" s="1"/>
  <c r="K19" i="2"/>
  <c r="K293" i="2" s="1"/>
  <c r="K27" i="2"/>
  <c r="K35" i="2"/>
  <c r="K43" i="2"/>
  <c r="K51" i="2"/>
  <c r="K59" i="2"/>
  <c r="O67" i="2"/>
  <c r="O75" i="2"/>
  <c r="O19" i="2"/>
  <c r="O27" i="2"/>
  <c r="O35" i="2"/>
  <c r="O43" i="2"/>
  <c r="O51" i="2"/>
  <c r="O59" i="2"/>
  <c r="H83" i="2"/>
  <c r="H91" i="2"/>
  <c r="H99" i="2"/>
  <c r="K83" i="2"/>
  <c r="K91" i="2"/>
  <c r="K99" i="2"/>
  <c r="H67" i="2"/>
  <c r="H75" i="2"/>
  <c r="Q171" i="2"/>
  <c r="N171" i="2"/>
  <c r="F293" i="2"/>
  <c r="M170" i="2"/>
  <c r="M181" i="2"/>
  <c r="H122" i="2"/>
  <c r="M134" i="2"/>
  <c r="F232" i="2"/>
  <c r="K122" i="2"/>
  <c r="M177" i="2"/>
  <c r="N177" i="2" s="1"/>
  <c r="N184" i="2"/>
  <c r="G267" i="2"/>
  <c r="G270" i="2"/>
  <c r="M127" i="2"/>
  <c r="M195" i="2"/>
  <c r="G269" i="2"/>
  <c r="G271" i="2"/>
  <c r="M196" i="2"/>
  <c r="H11" i="2"/>
  <c r="E293" i="2"/>
  <c r="A69" i="1" l="1"/>
  <c r="A210" i="1" l="1"/>
  <c r="J92" i="1"/>
  <c r="G92" i="1"/>
  <c r="G67" i="1"/>
  <c r="A248" i="1" l="1"/>
  <c r="J63" i="1" l="1"/>
  <c r="J62" i="1"/>
  <c r="G63" i="1"/>
  <c r="G62" i="1"/>
  <c r="G230" i="1" l="1"/>
  <c r="G228" i="1"/>
  <c r="G227" i="1"/>
  <c r="G224" i="1"/>
  <c r="G223" i="1"/>
  <c r="G222" i="1"/>
  <c r="G188" i="1"/>
  <c r="G247" i="1" l="1"/>
  <c r="G246" i="1"/>
  <c r="G245" i="1"/>
  <c r="G244" i="1"/>
  <c r="G242" i="1"/>
  <c r="G241" i="1"/>
  <c r="G134" i="1"/>
  <c r="G133" i="1"/>
  <c r="G132" i="1"/>
  <c r="G131" i="1"/>
  <c r="G130" i="1"/>
  <c r="G203" i="1" l="1"/>
  <c r="S16" i="1" l="1"/>
  <c r="S15" i="1"/>
  <c r="J97" i="1" l="1"/>
  <c r="J89" i="1"/>
  <c r="G198" i="1" l="1"/>
  <c r="G197" i="1"/>
  <c r="G196" i="1"/>
  <c r="G195" i="1" l="1"/>
  <c r="G199" i="1"/>
  <c r="G202" i="1"/>
  <c r="G209" i="1"/>
  <c r="G210" i="1"/>
  <c r="G212" i="1"/>
  <c r="G214" i="1"/>
  <c r="G216" i="1"/>
  <c r="G217" i="1"/>
  <c r="G219" i="1"/>
  <c r="G237" i="1"/>
  <c r="G240" i="1"/>
  <c r="G161" i="1"/>
  <c r="G162" i="1"/>
  <c r="G163" i="1"/>
  <c r="G164" i="1"/>
  <c r="G165" i="1"/>
  <c r="G168" i="1"/>
  <c r="G169" i="1"/>
  <c r="G170" i="1"/>
  <c r="G171" i="1"/>
  <c r="G172" i="1"/>
  <c r="G174" i="1"/>
  <c r="G175" i="1"/>
  <c r="G176" i="1"/>
  <c r="G177" i="1"/>
  <c r="G178" i="1"/>
  <c r="G179" i="1"/>
  <c r="G180" i="1"/>
  <c r="G184" i="1"/>
  <c r="G185" i="1"/>
  <c r="G186" i="1"/>
  <c r="G187" i="1"/>
  <c r="G190" i="1"/>
  <c r="G191" i="1"/>
  <c r="G192" i="1"/>
  <c r="G194" i="1"/>
  <c r="G151" i="1" l="1"/>
  <c r="G150" i="1"/>
  <c r="J95" i="1" l="1"/>
  <c r="G95" i="1"/>
  <c r="G160" i="1"/>
  <c r="G159" i="1"/>
  <c r="G158" i="1" l="1"/>
  <c r="G157" i="1"/>
  <c r="G153" i="1"/>
  <c r="G152" i="1"/>
  <c r="G149" i="1"/>
  <c r="G147" i="1"/>
  <c r="G146" i="1"/>
  <c r="G145" i="1"/>
  <c r="G144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53" i="1"/>
  <c r="G54" i="1"/>
  <c r="G55" i="1"/>
  <c r="G56" i="1"/>
  <c r="G57" i="1"/>
  <c r="G58" i="1"/>
  <c r="G59" i="1"/>
  <c r="G60" i="1"/>
  <c r="G61" i="1"/>
  <c r="G64" i="1"/>
  <c r="G65" i="1"/>
  <c r="G66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5" i="1"/>
  <c r="G87" i="1"/>
  <c r="G88" i="1"/>
  <c r="G90" i="1"/>
  <c r="G94" i="1"/>
  <c r="G96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5" i="1"/>
  <c r="G126" i="1"/>
  <c r="G127" i="1"/>
  <c r="G128" i="1"/>
  <c r="G129" i="1"/>
  <c r="G139" i="1"/>
  <c r="G140" i="1"/>
  <c r="G141" i="1"/>
  <c r="G142" i="1"/>
  <c r="G143" i="1"/>
  <c r="G4" i="1"/>
  <c r="J140" i="1"/>
  <c r="J139" i="1"/>
  <c r="J128" i="1"/>
  <c r="J127" i="1"/>
  <c r="J126" i="1"/>
  <c r="J125" i="1"/>
  <c r="J124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6" i="1"/>
  <c r="J94" i="1"/>
  <c r="J88" i="1"/>
  <c r="J87" i="1"/>
  <c r="J85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6" i="1"/>
  <c r="J65" i="1"/>
  <c r="J64" i="1"/>
  <c r="J61" i="1"/>
  <c r="J60" i="1"/>
  <c r="J59" i="1"/>
  <c r="J58" i="1"/>
  <c r="J57" i="1"/>
  <c r="J56" i="1"/>
  <c r="J55" i="1"/>
  <c r="J54" i="1"/>
  <c r="J53" i="1"/>
  <c r="J46" i="1"/>
  <c r="J45" i="1"/>
  <c r="J44" i="1"/>
  <c r="J43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0" i="1"/>
  <c r="J9" i="1"/>
  <c r="J8" i="1"/>
  <c r="J7" i="1"/>
  <c r="J6" i="1"/>
  <c r="J5" i="1"/>
  <c r="J143" i="1" l="1"/>
  <c r="J129" i="1"/>
  <c r="J42" i="1"/>
  <c r="J90" i="1"/>
  <c r="J11" i="1"/>
  <c r="J142" i="1"/>
  <c r="J4" i="1"/>
</calcChain>
</file>

<file path=xl/sharedStrings.xml><?xml version="1.0" encoding="utf-8"?>
<sst xmlns="http://schemas.openxmlformats.org/spreadsheetml/2006/main" count="1174" uniqueCount="398">
  <si>
    <t>VINOS</t>
  </si>
  <si>
    <t>MARCA</t>
  </si>
  <si>
    <t>DESCRIPCION</t>
  </si>
  <si>
    <t>COSTO UNITARIO</t>
  </si>
  <si>
    <t>STOCK</t>
  </si>
  <si>
    <t>PROMOCION</t>
  </si>
  <si>
    <t>TOTAL VENTA</t>
  </si>
  <si>
    <t>VIÑA VIEJA</t>
  </si>
  <si>
    <t>GRAN ROSE 750ML</t>
  </si>
  <si>
    <t xml:space="preserve"> GRAN BORGOÑA 750ML</t>
  </si>
  <si>
    <t>INTIPALKA</t>
  </si>
  <si>
    <t>SAUVIGNON 750ML</t>
  </si>
  <si>
    <t>TANNAT 750ML</t>
  </si>
  <si>
    <t>SYRAH 750ML</t>
  </si>
  <si>
    <t>MALBEC 750ML</t>
  </si>
  <si>
    <t>5 GRATIS</t>
  </si>
  <si>
    <t>CHARDONAY 750ML</t>
  </si>
  <si>
    <t>RESERVA MALBEC MERLOT 750ML</t>
  </si>
  <si>
    <t>TABERNERO</t>
  </si>
  <si>
    <t>BORGOÑA 750ML</t>
  </si>
  <si>
    <t>BLANCO 750ML</t>
  </si>
  <si>
    <t>ROSE 750ML</t>
  </si>
  <si>
    <t>BORGOÑA SELECCIÓN 750ML</t>
  </si>
  <si>
    <t>ROSE SELECCIÓN 750ML</t>
  </si>
  <si>
    <t>TINTO 750ML</t>
  </si>
  <si>
    <t>TUYO BORGOÑA 750ML</t>
  </si>
  <si>
    <t>QUEIROLO</t>
  </si>
  <si>
    <t>12 GRATIS</t>
  </si>
  <si>
    <t>MOSCATO 750ML</t>
  </si>
  <si>
    <t>MAGDALENA 750ML</t>
  </si>
  <si>
    <t>SECO TANNAT 750ML</t>
  </si>
  <si>
    <t>SECO SHIRAZ 750ML</t>
  </si>
  <si>
    <t>SECO ROSE SHIRAZ 750ML</t>
  </si>
  <si>
    <t>SECO MALBEC 750ML</t>
  </si>
  <si>
    <t xml:space="preserve">CASILLERO DEL DIABLO </t>
  </si>
  <si>
    <t>CARMENERE 750ML</t>
  </si>
  <si>
    <t>CAB SAUVINON 750ML</t>
  </si>
  <si>
    <t>MERLOT 750ML</t>
  </si>
  <si>
    <t>SAUVIGNON BLANCO 750ML</t>
  </si>
  <si>
    <t>RED BLEND  750ML</t>
  </si>
  <si>
    <t>TACAMA</t>
  </si>
  <si>
    <t>BLANCO SEMI SECO 750ML</t>
  </si>
  <si>
    <t>ROSE SEMI SECO 750ML</t>
  </si>
  <si>
    <t>TINTO SEMI SECO 750ML</t>
  </si>
  <si>
    <t>PISCO</t>
  </si>
  <si>
    <t>QUEBRANTA EDICION LIMITADA 700ML</t>
  </si>
  <si>
    <t>ITALIA EDICION LIMITADA 700ML</t>
  </si>
  <si>
    <t>QUEBRANTA LA BOTIJA 700ML</t>
  </si>
  <si>
    <t>ACHOLADO LA BOTIJA 700ML</t>
  </si>
  <si>
    <t>ITALIA LA BOTIJA700ML</t>
  </si>
  <si>
    <t>SOUR LIMON 700ML</t>
  </si>
  <si>
    <t>SOUR MARACUYA 700ML</t>
  </si>
  <si>
    <t>SOUR MANGO  700ML</t>
  </si>
  <si>
    <t>SOUR PIÑA 700ML</t>
  </si>
  <si>
    <t xml:space="preserve">ITALIA 750ML </t>
  </si>
  <si>
    <t>ACHOLADO 750ML</t>
  </si>
  <si>
    <t>QUEBRANTA 750ML</t>
  </si>
  <si>
    <t>TEQUILA</t>
  </si>
  <si>
    <t xml:space="preserve">JOSE CUERVO </t>
  </si>
  <si>
    <t>SILVER 750ML</t>
  </si>
  <si>
    <t>RUBIO 750ML</t>
  </si>
  <si>
    <t>JIMADOR</t>
  </si>
  <si>
    <t>REPOSADO 750ML</t>
  </si>
  <si>
    <t>WHYSKY</t>
  </si>
  <si>
    <t>BALLANTINES FINEST 750ML</t>
  </si>
  <si>
    <t>-</t>
  </si>
  <si>
    <t>JACK DANIELS 750ML</t>
  </si>
  <si>
    <t xml:space="preserve">JOHNNIE WALKER </t>
  </si>
  <si>
    <t>ETIQUETA ROJA 750ML</t>
  </si>
  <si>
    <t>SWING 750ML</t>
  </si>
  <si>
    <t>SOMETHING SPECIAL 750ML</t>
  </si>
  <si>
    <t>OLD PARR 750ML</t>
  </si>
  <si>
    <t>JACK DANIELS HONEY  750ML</t>
  </si>
  <si>
    <t>CHIVAS REGAL EXTRA 13 AÑOS 700ML</t>
  </si>
  <si>
    <t>PASSPORT 700ML</t>
  </si>
  <si>
    <t>OLD TIMES RED 750ML</t>
  </si>
  <si>
    <t>JAMES ALEXANDER 750ML</t>
  </si>
  <si>
    <t>VAT 69 700ML</t>
  </si>
  <si>
    <t>OLD SMUGGLER</t>
  </si>
  <si>
    <t>REGALOO</t>
  </si>
  <si>
    <t>RON</t>
  </si>
  <si>
    <t>APPLETON STATE 8 AÑOS 750ML</t>
  </si>
  <si>
    <t>CAFÉ FLOR DE CAÑA 750ML</t>
  </si>
  <si>
    <t>FLOR DE CAÑA 4 AÑOS 1LT</t>
  </si>
  <si>
    <t>FLOR DE CAÑA 4 AÑOS 750ML</t>
  </si>
  <si>
    <t>RON APPLETON SIGNATURE 750ML</t>
  </si>
  <si>
    <t>CARTAVIO BLACK 750ML</t>
  </si>
  <si>
    <t>CARTAVIO SUPERIOR 750ML</t>
  </si>
  <si>
    <t>CARTAVIO BLACK 250 ML</t>
  </si>
  <si>
    <t>VODKA</t>
  </si>
  <si>
    <t>SMIRNOFF RED 700ML</t>
  </si>
  <si>
    <t>SMIRNOFF ICE ORIGINAL LATA 355ML</t>
  </si>
  <si>
    <t>ABSOLUT RASPRERRI 750ML</t>
  </si>
  <si>
    <t>ABSOLUT CLASICO 750ML</t>
  </si>
  <si>
    <t>ABSOLUT MANDARINA 750ML</t>
  </si>
  <si>
    <t>ABSOLUT PEARS 750ML</t>
  </si>
  <si>
    <t>ABSOLUT LIME 750ML</t>
  </si>
  <si>
    <t>SKYY CLASICO 750ML</t>
  </si>
  <si>
    <t>SKYY INFUSIONS RASPBERRY 750ML</t>
  </si>
  <si>
    <t>SKYY INFUSIONS CITRUS 750ML</t>
  </si>
  <si>
    <t>CREMA</t>
  </si>
  <si>
    <t>BAILEYS ORIGINAL 750ML</t>
  </si>
  <si>
    <t>SHERIDANS ORIGINAL 750ML</t>
  </si>
  <si>
    <t>DE COCO LA TABERNA 240ML</t>
  </si>
  <si>
    <t>ANIS</t>
  </si>
  <si>
    <t>NANJAR ROJO CREMA 750ML</t>
  </si>
  <si>
    <t>NANJAR AZUL SEMI DULCE 750ML</t>
  </si>
  <si>
    <t>NANJAR VERDE SECO 750ML</t>
  </si>
  <si>
    <t>SANGRIA</t>
  </si>
  <si>
    <t>TABERNERO 1000ML</t>
  </si>
  <si>
    <t>QUEIROLO TINTA 1000ML</t>
  </si>
  <si>
    <t>COCTEL</t>
  </si>
  <si>
    <t>PICCOLI DE CAFÉ 750ML</t>
  </si>
  <si>
    <t>PICCOLI DE ALGARROBINA 750ML</t>
  </si>
  <si>
    <t>BEBIDA GASIFICADA</t>
  </si>
  <si>
    <t>GINGER</t>
  </si>
  <si>
    <t>REGALO</t>
  </si>
  <si>
    <t>LICOR</t>
  </si>
  <si>
    <t>JAGERMEISTER 700ML</t>
  </si>
  <si>
    <t>LE MANS DE MENTA 750ML</t>
  </si>
  <si>
    <t>AMARGO LE MANS 65ML  40% VOL ALC</t>
  </si>
  <si>
    <t>CHILCANO</t>
  </si>
  <si>
    <t>TABERNERO DE MARACUYA 275ML</t>
  </si>
  <si>
    <t>TABERNERO DE LIMON 275ML</t>
  </si>
  <si>
    <t>TABERNERO DE PIÑA 275ML</t>
  </si>
  <si>
    <t>TABERNERO DE CRANBERRY 275ML</t>
  </si>
  <si>
    <t>TABERNERO DE GUARANA 275ML</t>
  </si>
  <si>
    <t>TABERNERO DE NARANJA 275ML</t>
  </si>
  <si>
    <t xml:space="preserve">CEREZAS </t>
  </si>
  <si>
    <t>MARRASQUINO SANTIS ROJO 283GR</t>
  </si>
  <si>
    <t>ENERGIZANTE</t>
  </si>
  <si>
    <t>RED BULL 250ML</t>
  </si>
  <si>
    <t>RED BULL  TROPICAL 250ML</t>
  </si>
  <si>
    <t>JARABE</t>
  </si>
  <si>
    <t>DE GOMA CHEVALIER 750ML</t>
  </si>
  <si>
    <t>DE GRANADINA VALLE REAL 750ML</t>
  </si>
  <si>
    <t>TOTALLES</t>
  </si>
  <si>
    <t>PRECIO DE VENTA 30%</t>
  </si>
  <si>
    <t>PRECIO DE VENTA 25%</t>
  </si>
  <si>
    <t>STOCK ACTUAL</t>
  </si>
  <si>
    <t>NRO BOTELLAS VENDIDAS</t>
  </si>
  <si>
    <t xml:space="preserve"> AGUA CIELO SIN GAS EN CAJA 20000ML</t>
  </si>
  <si>
    <t xml:space="preserve">CERVEZA TRES CRUCES LATA 355ML </t>
  </si>
  <si>
    <t xml:space="preserve">SIX CERVEZA TRES CRUCES LATA 355ML </t>
  </si>
  <si>
    <t>SIX HEINEKEN CERVEZA VIDRIO 330ML</t>
  </si>
  <si>
    <t>HEINEKEN CERVEZA VIDRIO 330ML</t>
  </si>
  <si>
    <t>SPORADE TROPICAL  500ML</t>
  </si>
  <si>
    <t>CIFRUT FUIT PUNCH 400ML</t>
  </si>
  <si>
    <t>VOLT AZUL 300ML</t>
  </si>
  <si>
    <t>VOLT MACA 300ML</t>
  </si>
  <si>
    <t>AGUA CIELO SIN GAS 625ML</t>
  </si>
  <si>
    <t>AGUA CIELO SIN GAS 7000 ML</t>
  </si>
  <si>
    <t xml:space="preserve">SIX HEINEKEN CERVEZA LATA 330 ML </t>
  </si>
  <si>
    <t xml:space="preserve">HEINEKEN CERVEZA LATA 330 ML </t>
  </si>
  <si>
    <t xml:space="preserve">CERVEZA CRISTAL RUBIA </t>
  </si>
  <si>
    <t>CERVEZA CRISTAL LATA PQ DE 12 UN 355ML</t>
  </si>
  <si>
    <t>SIX CERVEZA CRISTAL LATA 473 ML</t>
  </si>
  <si>
    <t>CERVEZA CRISTAL LATA 355ML</t>
  </si>
  <si>
    <t>CERVEZA CRISTAL LATA 473ML</t>
  </si>
  <si>
    <t>CERVEZA QUSQUEÑA DORADA</t>
  </si>
  <si>
    <t>CERVEZA QUSQUEÑA NEGRA</t>
  </si>
  <si>
    <t xml:space="preserve">CERVEZA QUSQUEÑA TRIGO </t>
  </si>
  <si>
    <t>CERVEZA QUSQUEÑA DE TRIGO LATA 355ML</t>
  </si>
  <si>
    <t>SIX CERVEZA QUSQUEÑA DE TRIGO LATA 355ML</t>
  </si>
  <si>
    <t xml:space="preserve">SIX CERVEZA QUSQUEÑA NEGRA BOTELLA 310ML </t>
  </si>
  <si>
    <t xml:space="preserve">CERVEZA QUSQUEÑA NEGRA  BOTELLA 310ML </t>
  </si>
  <si>
    <t>AGUA</t>
  </si>
  <si>
    <t>CERVEZA</t>
  </si>
  <si>
    <t>JUGO</t>
  </si>
  <si>
    <t>CIGARRO</t>
  </si>
  <si>
    <t>MALBORO SUMMER FUSION SANDIA  X20</t>
  </si>
  <si>
    <t>L Y M FORWAD BLUE X20</t>
  </si>
  <si>
    <t>MALBORO FUSION MORA X10</t>
  </si>
  <si>
    <t xml:space="preserve">L Y M ELECTRO FUSION </t>
  </si>
  <si>
    <t>L Y M FORWAD BLUE X20 UNIDAD</t>
  </si>
  <si>
    <t>MALBORO SUMMER FUSION SANDIA  X20 UNIDAD</t>
  </si>
  <si>
    <t>MALBORO FUSION MORA X10 UNIDAD</t>
  </si>
  <si>
    <t>L Y M ELECTRO FUSION UNIDAD</t>
  </si>
  <si>
    <t xml:space="preserve">MALBORO CANELA X20 UN </t>
  </si>
  <si>
    <t xml:space="preserve">MALBORO CANELA X20 </t>
  </si>
  <si>
    <t>CORONA EXTRA 355ML</t>
  </si>
  <si>
    <t>VENTAS</t>
  </si>
  <si>
    <t xml:space="preserve">GOLDEN BEACH MENTA </t>
  </si>
  <si>
    <t xml:space="preserve">CARNIVAL 05 SABORES </t>
  </si>
  <si>
    <t xml:space="preserve">CARNIVAL 01 PEPA </t>
  </si>
  <si>
    <t>CARNIVAL 02 PEPA</t>
  </si>
  <si>
    <t xml:space="preserve">L Y M SILVER </t>
  </si>
  <si>
    <t xml:space="preserve">GOLDEN BEACH ROJO </t>
  </si>
  <si>
    <t>GOLDEN BEACH ROJO X20 UN</t>
  </si>
  <si>
    <t>GOLDEN BEACH MENTA X20 UN</t>
  </si>
  <si>
    <t>CARNIVAL 05 SABORES X20 UN</t>
  </si>
  <si>
    <t>CARNIVAL 01 PEPA X20 UN</t>
  </si>
  <si>
    <t>CARNIVAL 02 PEPA  X20 UN</t>
  </si>
  <si>
    <t>L Y M SILVER X10 UN</t>
  </si>
  <si>
    <t>MARGEN REAL GANANCIA</t>
  </si>
  <si>
    <t>CAJA LUCKY(X10)</t>
  </si>
  <si>
    <t>GASEOSA</t>
  </si>
  <si>
    <t>PEPSI COLA 3000ML</t>
  </si>
  <si>
    <t>SEVEN UP 3000ML</t>
  </si>
  <si>
    <t>EVERVESS GINGER ALE 1500ML</t>
  </si>
  <si>
    <t>PEPSI COLA 1500ML</t>
  </si>
  <si>
    <t>PEPSI COLA 500ML</t>
  </si>
  <si>
    <t>PEPSO COLA 2000ML</t>
  </si>
  <si>
    <t>SAN CARLOS 625ML</t>
  </si>
  <si>
    <t>SAN CARLOS 3000ML</t>
  </si>
  <si>
    <t>GATORADE 500 ML</t>
  </si>
  <si>
    <t>SMIRNOFF APPLE 700ML</t>
  </si>
  <si>
    <t>COCA COLA 600ML</t>
  </si>
  <si>
    <t>COCA COLA 600ML SIN AZUCAR</t>
  </si>
  <si>
    <t xml:space="preserve">COCA COLA 1500ML SIN AZUCAR </t>
  </si>
  <si>
    <t xml:space="preserve">COCA COLA 1000ML </t>
  </si>
  <si>
    <t>INKA COLA 600ML</t>
  </si>
  <si>
    <t>INKA COLA 1000ML</t>
  </si>
  <si>
    <t>INKA COLA 2250ML</t>
  </si>
  <si>
    <t>INKA COLA 1500ML SIN AZUCAR</t>
  </si>
  <si>
    <t>INKA COLA 600ML SIN AZUCAR</t>
  </si>
  <si>
    <t>FANTA 500ML</t>
  </si>
  <si>
    <t>FANTA 1500ML</t>
  </si>
  <si>
    <t>SPRITE 500ML</t>
  </si>
  <si>
    <t>SPRITE 1500ML</t>
  </si>
  <si>
    <t>FUGOS DEL VALLE 1500ML</t>
  </si>
  <si>
    <t>SAN LUIS 2500ML</t>
  </si>
  <si>
    <t>SAN LUIS 1000ML</t>
  </si>
  <si>
    <t>SAN LUIS 625ML</t>
  </si>
  <si>
    <t>FRUGO</t>
  </si>
  <si>
    <t>CBC MARKET</t>
  </si>
  <si>
    <t>SALEM</t>
  </si>
  <si>
    <t>COMERCIALIZADORA DE BEBIDAS SAC</t>
  </si>
  <si>
    <t xml:space="preserve">COCA COLA 2500ML </t>
  </si>
  <si>
    <t>FRUGO DEL VALLE 300ML</t>
  </si>
  <si>
    <t>CIFRUT FUIT PUNCH 1500ML</t>
  </si>
  <si>
    <t>MALBORO FUSION MORA X10 UNIDAD IMPORTADO</t>
  </si>
  <si>
    <t>LUCKY FRESA</t>
  </si>
  <si>
    <t>LUCKY SANDIA</t>
  </si>
  <si>
    <t xml:space="preserve">GASEOSA </t>
  </si>
  <si>
    <t>GUARANA 3000ML</t>
  </si>
  <si>
    <t>GUARANA 2000ML</t>
  </si>
  <si>
    <t>GUARANA 450ML</t>
  </si>
  <si>
    <t>SAN CARLOS CON GAS 625ML</t>
  </si>
  <si>
    <t xml:space="preserve">RON </t>
  </si>
  <si>
    <t>CABO BLANCO 750ML</t>
  </si>
  <si>
    <t>RUSSKAYA</t>
  </si>
  <si>
    <t>HIELO</t>
  </si>
  <si>
    <t>DEL POLO 4KG</t>
  </si>
  <si>
    <t>DEL POLO 2KG</t>
  </si>
  <si>
    <t>PILSEN CALLAO</t>
  </si>
  <si>
    <t>EMPRESA</t>
  </si>
  <si>
    <t>CARTAVIO HIT CUBA LIBRE</t>
  </si>
  <si>
    <t>CARTAVIO HIT MOJITO</t>
  </si>
  <si>
    <t>CARTAVIO HIT PIÑA COLADA</t>
  </si>
  <si>
    <t>CARTAVIO HIT DE RON</t>
  </si>
  <si>
    <t>SMIRNORF ICE APLE</t>
  </si>
  <si>
    <t>SMIRNORF ICE RED</t>
  </si>
  <si>
    <t>SMIRNORF</t>
  </si>
  <si>
    <t>PIQUEOS</t>
  </si>
  <si>
    <t>CHETOS HORNEADOS 200 GR</t>
  </si>
  <si>
    <t>CHETOS HORNEADOS QUESO 74GR</t>
  </si>
  <si>
    <t>CHETOS QUESO PICANTE 69GR</t>
  </si>
  <si>
    <t>DORITOS 210 GR</t>
  </si>
  <si>
    <t>DORITOS 85GR</t>
  </si>
  <si>
    <t>LAYS CLASICAS 70GR</t>
  </si>
  <si>
    <t>CUATES PICANTES 66GR</t>
  </si>
  <si>
    <t>PIQUEO SNAX 225</t>
  </si>
  <si>
    <t>PIQUEO SNAX 93</t>
  </si>
  <si>
    <t>CHIZITO QUESO 190GR</t>
  </si>
  <si>
    <t>CHIZITO QUESO 40GR</t>
  </si>
  <si>
    <t>CHEESETRIS QUESO 39GR</t>
  </si>
  <si>
    <t>CRUSH 450ML</t>
  </si>
  <si>
    <t>FOURLOKO</t>
  </si>
  <si>
    <t>GOLD</t>
  </si>
  <si>
    <t>BLUE</t>
  </si>
  <si>
    <t>GREEN</t>
  </si>
  <si>
    <t>SANDIA</t>
  </si>
  <si>
    <t>PONCHE</t>
  </si>
  <si>
    <t>PURPLE</t>
  </si>
  <si>
    <t>PRINGLES</t>
  </si>
  <si>
    <t>SIX BUDWEISER 343 ML</t>
  </si>
  <si>
    <t xml:space="preserve"> SIX LATA GOLDEN 355ML</t>
  </si>
  <si>
    <t>SIX STELLA ARTOIS 330ML</t>
  </si>
  <si>
    <t>SIX PACIFICO 300ML</t>
  </si>
  <si>
    <t>SIX QUSQUEÑA DORADA 310ML</t>
  </si>
  <si>
    <t xml:space="preserve"> SIX QUSQUEÑA DOBLE MALTA 310ML</t>
  </si>
  <si>
    <t>GOLD LABEL</t>
  </si>
  <si>
    <t>BLACK LABEL</t>
  </si>
  <si>
    <t>LAYS CLASICAS 180GR</t>
  </si>
  <si>
    <t>SAN MATEO 600ML</t>
  </si>
  <si>
    <t>PRINGLES grande</t>
  </si>
  <si>
    <t>CHIVAS REGAL 12 AÑOS 700ML</t>
  </si>
  <si>
    <t>CHIVAS REGAL 18 AÑOS 700ML</t>
  </si>
  <si>
    <t>CARTAVIOSUPERIOR 125 ML</t>
  </si>
  <si>
    <t xml:space="preserve"> PILSEN LATA 355</t>
  </si>
  <si>
    <t>BUDWEISER 343 ML</t>
  </si>
  <si>
    <t xml:space="preserve"> PILSEN LATA GRANDE 473ML</t>
  </si>
  <si>
    <t>NUEVO PRECIO</t>
  </si>
  <si>
    <t>FLOR DE CAÑA 5 AÑOS 750ML</t>
  </si>
  <si>
    <t xml:space="preserve">PRECIO DE VENTA </t>
  </si>
  <si>
    <t>CHAMPAGNE</t>
  </si>
  <si>
    <t xml:space="preserve">TABERNERO </t>
  </si>
  <si>
    <t xml:space="preserve">ESPECIAL </t>
  </si>
  <si>
    <t>RUSSKAYA CLASICO 1 L</t>
  </si>
  <si>
    <t>RUSSKAYA CITRUS 750 ML</t>
  </si>
  <si>
    <t>RUSSKAYA CLASICO 750 ML</t>
  </si>
  <si>
    <t>RICCADONNA</t>
  </si>
  <si>
    <t xml:space="preserve">SILVER </t>
  </si>
  <si>
    <t>RUBY</t>
  </si>
  <si>
    <t>CARTAVIO BLANCO 750ML</t>
  </si>
  <si>
    <t>HAVANA CLUB ESPECIAL 750ML</t>
  </si>
  <si>
    <t>HAVANA CLUB ESPECIAL AÑEJO 1000ML</t>
  </si>
  <si>
    <t>CARTAVIO BLACK 125ML</t>
  </si>
  <si>
    <t>BACARDI 200 ML</t>
  </si>
  <si>
    <t>CUATRO GALLOS</t>
  </si>
  <si>
    <t>QUEBRANTA</t>
  </si>
  <si>
    <t>ACHOLADO</t>
  </si>
  <si>
    <t>DE GOMA VARGAS 750ML</t>
  </si>
  <si>
    <t>DE GRANADINA VARGAS 750ML</t>
  </si>
  <si>
    <t>LAYS CLASICAS 160GR</t>
  </si>
  <si>
    <t>PIQUEO SNAX 55</t>
  </si>
  <si>
    <t>CUATES PICANTES 56GR</t>
  </si>
  <si>
    <t>INKA COLA 2500ML</t>
  </si>
  <si>
    <t>CONCORDIA ROJA 3000 ML</t>
  </si>
  <si>
    <t>CONCORDIA ROJA 500 ML</t>
  </si>
  <si>
    <t>CONCORDIA AMARILLA 500 ML</t>
  </si>
  <si>
    <t xml:space="preserve">CIFRUT FUIT PUNCH GARDANILLA 350ML </t>
  </si>
  <si>
    <t>CIFRUT FUIT PUNCH NARANJA 350ML</t>
  </si>
  <si>
    <t>BIG COLA 350 ML</t>
  </si>
  <si>
    <t>VIDA DE 500 ML</t>
  </si>
  <si>
    <t>SAN LUIS 750ML</t>
  </si>
  <si>
    <t xml:space="preserve"> QUSQUEÑA DOBLE MALTA UND 310ML</t>
  </si>
  <si>
    <t>SIX PACK DE CORONA EXTRA 355ML</t>
  </si>
  <si>
    <t xml:space="preserve"> BUDWEISER UND 343 ML</t>
  </si>
  <si>
    <t xml:space="preserve">SIX PACK DE CERVEZA QUSQUEÑA NEGRA  BOTELLA 310ML </t>
  </si>
  <si>
    <t>PACIFICO UND 300ML</t>
  </si>
  <si>
    <t>CERVEZA QUSQUEÑA DE TRIGO BOTELLA 310ML</t>
  </si>
  <si>
    <t>SIX PACK CERVEZA QUSQUEÑA DE TRIGO BOTELLA 310ML</t>
  </si>
  <si>
    <t>STELLA ARTOIS UND 330ML</t>
  </si>
  <si>
    <t>SIX PACK STELLA ARTOIS 330ML</t>
  </si>
  <si>
    <t>SIX PACK CERVEZA CRISTAL LATA 355ML</t>
  </si>
  <si>
    <t xml:space="preserve"> SIX PACK CRISTAL LATA GRANDE 473ML</t>
  </si>
  <si>
    <t>SIX PACK CERVEZA PILSEN LATA 473ML</t>
  </si>
  <si>
    <t>SIX PACK PILSEN LATA 355</t>
  </si>
  <si>
    <t xml:space="preserve">CERVEZA QUSQUEÑA DORADA PERSONAL 310 ML </t>
  </si>
  <si>
    <t xml:space="preserve">SIX PACK CERVEZA QUSQUEÑA DORADA PERSONAL 310 ML </t>
  </si>
  <si>
    <t xml:space="preserve">CAJA CERVEZA PILSEN  </t>
  </si>
  <si>
    <t xml:space="preserve">CAJA CERVEZA CRISTAL </t>
  </si>
  <si>
    <t xml:space="preserve">QUSQUEÑA DORADA 630ML </t>
  </si>
  <si>
    <t>NEVADA 2KG</t>
  </si>
  <si>
    <t>PILSEN CALLAO 630</t>
  </si>
  <si>
    <t>BOTELLA PILSEN 305 ML</t>
  </si>
  <si>
    <t>COCA COLA 1000ML VIDRIO</t>
  </si>
  <si>
    <t>POMALCA 250ML</t>
  </si>
  <si>
    <t>FRUTARIS</t>
  </si>
  <si>
    <t xml:space="preserve">CAJA CERVEZA QUSQUEÑA TRIGO </t>
  </si>
  <si>
    <t>GOLOSINAS</t>
  </si>
  <si>
    <t>GALLETAS</t>
  </si>
  <si>
    <t>RITZ</t>
  </si>
  <si>
    <t>RELLENITAS</t>
  </si>
  <si>
    <t>BARRAS HALLS AZUL</t>
  </si>
  <si>
    <t>BARRAS HALLS ROJA</t>
  </si>
  <si>
    <t>BARRAS HALLS MORADA</t>
  </si>
  <si>
    <t>BARRAS HALLS NEGRA</t>
  </si>
  <si>
    <t>TRIDENT MORA</t>
  </si>
  <si>
    <t>CASINOS</t>
  </si>
  <si>
    <t>ENCENDEDORES</t>
  </si>
  <si>
    <t>OTROS</t>
  </si>
  <si>
    <t>TRIANGULO DONOFRIO</t>
  </si>
  <si>
    <t>SUBLIME CLASICO</t>
  </si>
  <si>
    <t>PRICESA</t>
  </si>
  <si>
    <t>MENTITAS</t>
  </si>
  <si>
    <t>MIKES'S</t>
  </si>
  <si>
    <t>MIKES'S MARACUYA 355 ML</t>
  </si>
  <si>
    <t>MIKES'S FRESA 355 ML</t>
  </si>
  <si>
    <t>MIKES'S  355 ML</t>
  </si>
  <si>
    <t>INCA COLA 600ML</t>
  </si>
  <si>
    <t>YAPE</t>
  </si>
  <si>
    <t>CHETOS QUESO PICANTE 34GR</t>
  </si>
  <si>
    <t>CHETOS HORNEADO QUESO 34GR</t>
  </si>
  <si>
    <t>RUBY PEQUEÑO</t>
  </si>
  <si>
    <t>SAN LUIS CON GAS 750ML</t>
  </si>
  <si>
    <t>SMIRNORF ICE APLE BOTELLA</t>
  </si>
  <si>
    <t>SMIRNORF ICE RED BOTELLA</t>
  </si>
  <si>
    <t>CAJAS LLENAS Y VACIAS DE   CERVEZA</t>
  </si>
  <si>
    <t>CAJA LLENAS Y VACIAS DE GASEOSA</t>
  </si>
  <si>
    <t>VIÑA VIEJA ROSE</t>
  </si>
  <si>
    <t>JACK DANIELS N7 750ML</t>
  </si>
  <si>
    <t xml:space="preserve"> PILSEN LATA UND 355</t>
  </si>
  <si>
    <t xml:space="preserve"> CRISTAL LATA GRANDE UND 473ML</t>
  </si>
  <si>
    <t>CERVEZA PILSEN LATA UND 473ML</t>
  </si>
  <si>
    <t>CERVEZA CRISTAL LATA UND 355ML</t>
  </si>
  <si>
    <t>CERVEZA QUSQUEÑA NEGRA 630</t>
  </si>
  <si>
    <t>CHIZITO QUESO 35GR</t>
  </si>
  <si>
    <t>CHICLETS ADAMS</t>
  </si>
  <si>
    <t>CHICLES BUGIS CAJA</t>
  </si>
  <si>
    <t xml:space="preserve">WIN BOX BORGOÑA </t>
  </si>
  <si>
    <t>DE COCO LA TABERNA 240ML PARA HACER TRAGOS</t>
  </si>
  <si>
    <t>LE MANS DE MENTA 750ML PARA HACER TRAGOS</t>
  </si>
  <si>
    <t>AMARGO LE MANS 65ML  40% VOL ALC PARA HACER TRAGOS</t>
  </si>
  <si>
    <t>BLUE CURACAO 3 PLUMAS PARA HACER TRAGOS</t>
  </si>
  <si>
    <t>BLUE CURACAO AMSTERDAM PARA HACER TRAGOS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</si>
</sst>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S/&quot;\ #,##0.00;[Red]\-&quot;S/&quot;\ #,##0.00"/>
    <numFmt numFmtId="165" formatCode="&quot;S/&quot;#,##0.00"/>
    <numFmt numFmtId="166" formatCode="&quot;S/&quot;\ #,##0.00"/>
    <numFmt numFmtId="167" formatCode="&quot;S/&quot;#,##0.0"/>
    <numFmt numFmtId="168" formatCode="&quot;S/&quot;\ #,##0.0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1" xfId="0" applyNumberFormat="1" applyBorder="1"/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2" fillId="2" borderId="8" xfId="0" applyNumberFormat="1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0" fillId="0" borderId="7" xfId="0" applyBorder="1"/>
    <xf numFmtId="2" fontId="0" fillId="0" borderId="7" xfId="0" applyNumberForma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/>
    <xf numFmtId="0" fontId="3" fillId="0" borderId="9" xfId="0" applyFont="1" applyBorder="1"/>
    <xf numFmtId="2" fontId="3" fillId="0" borderId="9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2" fontId="3" fillId="0" borderId="2" xfId="0" applyNumberFormat="1" applyFont="1" applyBorder="1"/>
    <xf numFmtId="2" fontId="0" fillId="0" borderId="10" xfId="0" applyNumberFormat="1" applyBorder="1"/>
    <xf numFmtId="2" fontId="3" fillId="0" borderId="10" xfId="0" applyNumberFormat="1" applyFont="1" applyBorder="1"/>
    <xf numFmtId="0" fontId="2" fillId="0" borderId="0" xfId="0" applyFont="1"/>
    <xf numFmtId="0" fontId="3" fillId="0" borderId="0" xfId="0" applyFont="1"/>
    <xf numFmtId="0" fontId="3" fillId="0" borderId="8" xfId="0" applyFont="1" applyBorder="1"/>
    <xf numFmtId="2" fontId="3" fillId="0" borderId="8" xfId="0" applyNumberFormat="1" applyFont="1" applyBorder="1"/>
    <xf numFmtId="0" fontId="3" fillId="0" borderId="8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2" fontId="0" fillId="0" borderId="11" xfId="0" applyNumberFormat="1" applyBorder="1"/>
    <xf numFmtId="166" fontId="0" fillId="0" borderId="0" xfId="0" applyNumberFormat="1"/>
    <xf numFmtId="168" fontId="0" fillId="0" borderId="0" xfId="0" applyNumberFormat="1"/>
    <xf numFmtId="0" fontId="3" fillId="0" borderId="11" xfId="0" applyFont="1" applyBorder="1"/>
    <xf numFmtId="2" fontId="3" fillId="0" borderId="11" xfId="0" applyNumberFormat="1" applyFont="1" applyBorder="1"/>
    <xf numFmtId="166" fontId="0" fillId="0" borderId="1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1" fillId="0" borderId="6" xfId="0" applyNumberFormat="1" applyFon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3" fillId="0" borderId="10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2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0" fontId="0" fillId="0" borderId="10" xfId="0" applyBorder="1" applyAlignment="1">
      <alignment horizontal="center"/>
    </xf>
    <xf numFmtId="165" fontId="2" fillId="2" borderId="10" xfId="0" applyNumberFormat="1" applyFon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4" borderId="8" xfId="0" applyFont="1" applyFill="1" applyBorder="1"/>
    <xf numFmtId="0" fontId="0" fillId="0" borderId="0" xfId="0" applyAlignment="1">
      <alignment horizontal="center" textRotation="255" wrapText="1"/>
    </xf>
    <xf numFmtId="165" fontId="0" fillId="0" borderId="11" xfId="0" applyNumberFormat="1" applyBorder="1" applyAlignment="1">
      <alignment horizontal="center"/>
    </xf>
    <xf numFmtId="0" fontId="0" fillId="0" borderId="11" xfId="0" applyBorder="1"/>
    <xf numFmtId="0" fontId="0" fillId="0" borderId="21" xfId="0" applyBorder="1" applyAlignment="1">
      <alignment horizontal="center"/>
    </xf>
    <xf numFmtId="165" fontId="2" fillId="2" borderId="11" xfId="0" applyNumberFormat="1" applyFont="1" applyFill="1" applyBorder="1" applyAlignment="1">
      <alignment horizontal="center"/>
    </xf>
    <xf numFmtId="0" fontId="2" fillId="0" borderId="1" xfId="0" applyFont="1" applyBorder="1"/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166" fontId="0" fillId="0" borderId="9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2" fontId="3" fillId="4" borderId="8" xfId="0" applyNumberFormat="1" applyFont="1" applyFill="1" applyBorder="1"/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67" fontId="1" fillId="4" borderId="1" xfId="0" applyNumberFormat="1" applyFont="1" applyFill="1" applyBorder="1" applyAlignment="1">
      <alignment horizontal="center"/>
    </xf>
    <xf numFmtId="0" fontId="3" fillId="0" borderId="0" xfId="0" applyFont="1" applyBorder="1"/>
    <xf numFmtId="164" fontId="4" fillId="0" borderId="0" xfId="0" applyNumberFormat="1" applyFont="1" applyBorder="1" applyAlignment="1">
      <alignment horizontal="center" vertical="center"/>
    </xf>
    <xf numFmtId="166" fontId="0" fillId="0" borderId="0" xfId="0" applyNumberFormat="1" applyBorder="1"/>
    <xf numFmtId="0" fontId="0" fillId="0" borderId="0" xfId="0" applyBorder="1"/>
    <xf numFmtId="0" fontId="6" fillId="0" borderId="0" xfId="0" applyFont="1" applyBorder="1"/>
    <xf numFmtId="165" fontId="0" fillId="0" borderId="0" xfId="0" applyNumberFormat="1"/>
    <xf numFmtId="165" fontId="10" fillId="4" borderId="1" xfId="0" applyNumberFormat="1" applyFont="1" applyFill="1" applyBorder="1"/>
    <xf numFmtId="0" fontId="1" fillId="0" borderId="5" xfId="0" applyFont="1" applyBorder="1" applyAlignment="1">
      <alignment horizontal="center"/>
    </xf>
    <xf numFmtId="166" fontId="0" fillId="4" borderId="0" xfId="0" applyNumberFormat="1" applyFill="1"/>
    <xf numFmtId="2" fontId="3" fillId="0" borderId="0" xfId="0" applyNumberFormat="1" applyFont="1" applyBorder="1"/>
    <xf numFmtId="0" fontId="0" fillId="3" borderId="1" xfId="0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2" fontId="10" fillId="3" borderId="1" xfId="0" applyNumberFormat="1" applyFont="1" applyFill="1" applyBorder="1"/>
    <xf numFmtId="166" fontId="0" fillId="3" borderId="10" xfId="0" applyNumberFormat="1" applyFill="1" applyBorder="1" applyAlignment="1">
      <alignment horizontal="center"/>
    </xf>
    <xf numFmtId="0" fontId="0" fillId="3" borderId="0" xfId="0" applyFill="1"/>
    <xf numFmtId="167" fontId="1" fillId="3" borderId="1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1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0" fontId="0" fillId="3" borderId="8" xfId="0" applyFill="1" applyBorder="1"/>
    <xf numFmtId="0" fontId="0" fillId="3" borderId="19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166" fontId="0" fillId="3" borderId="2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0" fontId="0" fillId="3" borderId="10" xfId="0" applyFill="1" applyBorder="1"/>
    <xf numFmtId="0" fontId="0" fillId="3" borderId="1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6" fontId="0" fillId="3" borderId="7" xfId="0" applyNumberFormat="1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0" fontId="0" fillId="3" borderId="7" xfId="0" applyFill="1" applyBorder="1"/>
    <xf numFmtId="0" fontId="10" fillId="3" borderId="13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165" fontId="9" fillId="3" borderId="10" xfId="0" applyNumberFormat="1" applyFont="1" applyFill="1" applyBorder="1" applyAlignment="1">
      <alignment horizontal="center"/>
    </xf>
    <xf numFmtId="165" fontId="10" fillId="3" borderId="7" xfId="0" applyNumberFormat="1" applyFont="1" applyFill="1" applyBorder="1" applyAlignment="1">
      <alignment horizontal="center"/>
    </xf>
    <xf numFmtId="0" fontId="10" fillId="3" borderId="7" xfId="0" applyFont="1" applyFill="1" applyBorder="1"/>
    <xf numFmtId="0" fontId="0" fillId="3" borderId="21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5" fontId="2" fillId="3" borderId="11" xfId="0" applyNumberFormat="1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0" xfId="0" applyFont="1" applyFill="1" applyBorder="1"/>
    <xf numFmtId="0" fontId="10" fillId="3" borderId="2" xfId="0" applyFont="1" applyFill="1" applyBorder="1" applyAlignment="1">
      <alignment horizontal="center"/>
    </xf>
    <xf numFmtId="0" fontId="10" fillId="3" borderId="8" xfId="0" applyFont="1" applyFill="1" applyBorder="1"/>
    <xf numFmtId="0" fontId="3" fillId="3" borderId="8" xfId="0" applyFont="1" applyFill="1" applyBorder="1" applyAlignment="1">
      <alignment horizontal="center"/>
    </xf>
    <xf numFmtId="2" fontId="0" fillId="3" borderId="1" xfId="0" applyNumberFormat="1" applyFill="1" applyBorder="1"/>
    <xf numFmtId="0" fontId="9" fillId="3" borderId="1" xfId="0" applyFont="1" applyFill="1" applyBorder="1" applyAlignment="1">
      <alignment horizontal="center"/>
    </xf>
    <xf numFmtId="2" fontId="0" fillId="3" borderId="7" xfId="0" applyNumberFormat="1" applyFill="1" applyBorder="1"/>
    <xf numFmtId="0" fontId="0" fillId="3" borderId="2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9" xfId="0" applyFill="1" applyBorder="1"/>
    <xf numFmtId="0" fontId="0" fillId="3" borderId="23" xfId="0" applyFill="1" applyBorder="1"/>
    <xf numFmtId="164" fontId="4" fillId="3" borderId="23" xfId="0" applyNumberFormat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0" fontId="2" fillId="3" borderId="1" xfId="0" applyFont="1" applyFill="1" applyBorder="1"/>
    <xf numFmtId="0" fontId="2" fillId="3" borderId="7" xfId="0" applyFont="1" applyFill="1" applyBorder="1"/>
    <xf numFmtId="0" fontId="3" fillId="3" borderId="1" xfId="0" applyFont="1" applyFill="1" applyBorder="1"/>
    <xf numFmtId="0" fontId="3" fillId="3" borderId="7" xfId="0" applyFont="1" applyFill="1" applyBorder="1"/>
    <xf numFmtId="0" fontId="0" fillId="3" borderId="25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5" xfId="0" applyBorder="1" applyAlignment="1">
      <alignment horizontal="center" textRotation="255"/>
    </xf>
    <xf numFmtId="0" fontId="0" fillId="0" borderId="16" xfId="0" applyBorder="1" applyAlignment="1">
      <alignment horizontal="center" textRotation="255"/>
    </xf>
    <xf numFmtId="0" fontId="0" fillId="0" borderId="17" xfId="0" applyBorder="1" applyAlignment="1">
      <alignment horizontal="center" textRotation="255"/>
    </xf>
    <xf numFmtId="0" fontId="0" fillId="0" borderId="15" xfId="0" applyBorder="1" applyAlignment="1">
      <alignment textRotation="255" wrapText="1"/>
    </xf>
    <xf numFmtId="0" fontId="0" fillId="0" borderId="16" xfId="0" applyBorder="1" applyAlignment="1">
      <alignment textRotation="255" wrapText="1"/>
    </xf>
    <xf numFmtId="0" fontId="0" fillId="0" borderId="17" xfId="0" applyBorder="1" applyAlignment="1">
      <alignment textRotation="255" wrapText="1"/>
    </xf>
    <xf numFmtId="0" fontId="0" fillId="0" borderId="15" xfId="0" applyBorder="1" applyAlignment="1">
      <alignment horizontal="center" textRotation="255" wrapText="1"/>
    </xf>
    <xf numFmtId="0" fontId="0" fillId="0" borderId="16" xfId="0" applyBorder="1" applyAlignment="1">
      <alignment horizontal="center" textRotation="255" wrapText="1"/>
    </xf>
    <xf numFmtId="0" fontId="0" fillId="0" borderId="20" xfId="0" applyBorder="1" applyAlignment="1">
      <alignment horizontal="center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658"/>
  <sheetViews>
    <sheetView tabSelected="1" topLeftCell="C207" zoomScale="80" zoomScaleNormal="80" workbookViewId="0">
      <selection activeCell="K220" sqref="K220"/>
    </sheetView>
  </sheetViews>
  <sheetFormatPr baseColWidth="10" defaultRowHeight="18.75" x14ac:dyDescent="0.3"/>
  <cols>
    <col min="2" max="2" width="18.7109375" bestFit="1" customWidth="1"/>
    <col min="3" max="3" width="58.85546875" customWidth="1"/>
    <col min="4" max="5" width="38.85546875" customWidth="1"/>
    <col min="6" max="6" width="31.85546875" style="72" customWidth="1"/>
    <col min="7" max="7" width="31.85546875" hidden="1" customWidth="1"/>
    <col min="9" max="9" width="12.42578125" hidden="1" customWidth="1"/>
    <col min="10" max="10" width="15.140625" hidden="1" customWidth="1"/>
    <col min="11" max="11" width="26.5703125" customWidth="1"/>
    <col min="12" max="12" width="14" bestFit="1" customWidth="1"/>
  </cols>
  <sheetData>
    <row r="3" spans="1:19" x14ac:dyDescent="0.3">
      <c r="A3" s="12" t="s">
        <v>246</v>
      </c>
      <c r="B3" s="1" t="s">
        <v>0</v>
      </c>
      <c r="C3" s="1" t="s">
        <v>1</v>
      </c>
      <c r="D3" s="1" t="s">
        <v>2</v>
      </c>
      <c r="E3" s="1" t="s">
        <v>3</v>
      </c>
      <c r="F3" s="10" t="s">
        <v>295</v>
      </c>
      <c r="G3" s="7" t="s">
        <v>138</v>
      </c>
      <c r="H3" s="1" t="s">
        <v>4</v>
      </c>
      <c r="I3" s="1" t="s">
        <v>5</v>
      </c>
      <c r="J3" s="1" t="s">
        <v>6</v>
      </c>
      <c r="K3" s="1" t="s">
        <v>140</v>
      </c>
      <c r="L3" s="110" t="s">
        <v>139</v>
      </c>
    </row>
    <row r="4" spans="1:19" x14ac:dyDescent="0.3">
      <c r="B4" s="114" t="s">
        <v>0</v>
      </c>
      <c r="C4" s="114" t="s">
        <v>382</v>
      </c>
      <c r="D4" s="114" t="s">
        <v>8</v>
      </c>
      <c r="E4" s="115">
        <v>11.3</v>
      </c>
      <c r="F4" s="116">
        <v>16</v>
      </c>
      <c r="G4" s="117" t="e">
        <f>#REF!/(1-0.25)</f>
        <v>#REF!</v>
      </c>
      <c r="H4" s="114">
        <v>20</v>
      </c>
      <c r="I4" s="118"/>
      <c r="J4" s="118">
        <f t="shared" ref="J4:J36" si="0">F4*H4</f>
        <v>320</v>
      </c>
      <c r="K4" s="119"/>
      <c r="L4" s="120">
        <f>H4-K4</f>
        <v>20</v>
      </c>
      <c r="M4" s="109">
        <f>E4*L4</f>
        <v>226</v>
      </c>
      <c r="N4" s="42"/>
    </row>
    <row r="5" spans="1:19" x14ac:dyDescent="0.3">
      <c r="B5" s="114" t="s">
        <v>0</v>
      </c>
      <c r="C5" s="114" t="s">
        <v>7</v>
      </c>
      <c r="D5" s="114" t="s">
        <v>9</v>
      </c>
      <c r="E5" s="115">
        <v>11.3</v>
      </c>
      <c r="F5" s="116">
        <v>16</v>
      </c>
      <c r="G5" s="117" t="e">
        <f>#REF!/(1-0.25)</f>
        <v>#REF!</v>
      </c>
      <c r="H5" s="114">
        <v>18</v>
      </c>
      <c r="I5" s="118"/>
      <c r="J5" s="118">
        <f t="shared" si="0"/>
        <v>288</v>
      </c>
      <c r="K5" s="119"/>
      <c r="L5" s="120">
        <f t="shared" ref="L5:L69" si="1">H5-K5</f>
        <v>18</v>
      </c>
      <c r="M5" s="109">
        <f t="shared" ref="M5:M68" si="2">E5*L5</f>
        <v>203.4</v>
      </c>
      <c r="N5" s="42"/>
    </row>
    <row r="6" spans="1:19" x14ac:dyDescent="0.3">
      <c r="B6" s="114" t="s">
        <v>0</v>
      </c>
      <c r="C6" s="114" t="s">
        <v>10</v>
      </c>
      <c r="D6" s="114" t="s">
        <v>11</v>
      </c>
      <c r="E6" s="115">
        <v>24.6</v>
      </c>
      <c r="F6" s="116">
        <v>35</v>
      </c>
      <c r="G6" s="117" t="e">
        <f>#REF!/(1-0.25)</f>
        <v>#REF!</v>
      </c>
      <c r="H6" s="114">
        <v>12</v>
      </c>
      <c r="I6" s="118"/>
      <c r="J6" s="118">
        <f t="shared" si="0"/>
        <v>420</v>
      </c>
      <c r="K6" s="119"/>
      <c r="L6" s="120">
        <f t="shared" si="1"/>
        <v>12</v>
      </c>
      <c r="M6" s="109">
        <f t="shared" si="2"/>
        <v>295.20000000000005</v>
      </c>
      <c r="N6" s="42"/>
    </row>
    <row r="7" spans="1:19" x14ac:dyDescent="0.3">
      <c r="B7" s="114" t="s">
        <v>0</v>
      </c>
      <c r="C7" s="114" t="s">
        <v>10</v>
      </c>
      <c r="D7" s="114" t="s">
        <v>12</v>
      </c>
      <c r="E7" s="115">
        <v>24.6</v>
      </c>
      <c r="F7" s="116">
        <v>35</v>
      </c>
      <c r="G7" s="117" t="e">
        <f>#REF!/(1-0.25)</f>
        <v>#REF!</v>
      </c>
      <c r="H7" s="114">
        <v>12</v>
      </c>
      <c r="I7" s="118"/>
      <c r="J7" s="118">
        <f t="shared" si="0"/>
        <v>420</v>
      </c>
      <c r="K7" s="119"/>
      <c r="L7" s="120">
        <f t="shared" si="1"/>
        <v>12</v>
      </c>
      <c r="M7" s="109">
        <f t="shared" si="2"/>
        <v>295.20000000000005</v>
      </c>
      <c r="N7" s="42"/>
    </row>
    <row r="8" spans="1:19" x14ac:dyDescent="0.3">
      <c r="B8" s="114" t="s">
        <v>0</v>
      </c>
      <c r="C8" s="114" t="s">
        <v>10</v>
      </c>
      <c r="D8" s="114" t="s">
        <v>13</v>
      </c>
      <c r="E8" s="115">
        <v>24.6</v>
      </c>
      <c r="F8" s="116">
        <v>35</v>
      </c>
      <c r="G8" s="117" t="e">
        <f>#REF!/(1-0.25)</f>
        <v>#REF!</v>
      </c>
      <c r="H8" s="114">
        <v>10</v>
      </c>
      <c r="I8" s="118"/>
      <c r="J8" s="118">
        <f t="shared" si="0"/>
        <v>350</v>
      </c>
      <c r="K8" s="119"/>
      <c r="L8" s="120">
        <f t="shared" si="1"/>
        <v>10</v>
      </c>
      <c r="M8" s="109">
        <f t="shared" si="2"/>
        <v>246</v>
      </c>
      <c r="N8" s="42"/>
    </row>
    <row r="9" spans="1:19" x14ac:dyDescent="0.3">
      <c r="B9" s="114" t="s">
        <v>0</v>
      </c>
      <c r="C9" s="114" t="s">
        <v>10</v>
      </c>
      <c r="D9" s="114" t="s">
        <v>14</v>
      </c>
      <c r="E9" s="115">
        <v>24.6</v>
      </c>
      <c r="F9" s="116">
        <v>35</v>
      </c>
      <c r="G9" s="117" t="e">
        <f>#REF!/(1-0.25)</f>
        <v>#REF!</v>
      </c>
      <c r="H9" s="114">
        <v>17</v>
      </c>
      <c r="I9" s="118" t="s">
        <v>15</v>
      </c>
      <c r="J9" s="118">
        <f t="shared" si="0"/>
        <v>595</v>
      </c>
      <c r="K9" s="119"/>
      <c r="L9" s="120">
        <f t="shared" si="1"/>
        <v>17</v>
      </c>
      <c r="M9" s="109">
        <f t="shared" si="2"/>
        <v>418.20000000000005</v>
      </c>
      <c r="N9" s="42"/>
    </row>
    <row r="10" spans="1:19" x14ac:dyDescent="0.3">
      <c r="B10" s="114" t="s">
        <v>0</v>
      </c>
      <c r="C10" s="114" t="s">
        <v>10</v>
      </c>
      <c r="D10" s="114" t="s">
        <v>16</v>
      </c>
      <c r="E10" s="115">
        <v>24.6</v>
      </c>
      <c r="F10" s="116">
        <v>35</v>
      </c>
      <c r="G10" s="117" t="e">
        <f>#REF!/(1-0.25)</f>
        <v>#REF!</v>
      </c>
      <c r="H10" s="114">
        <v>12</v>
      </c>
      <c r="I10" s="118"/>
      <c r="J10" s="118">
        <f t="shared" si="0"/>
        <v>420</v>
      </c>
      <c r="K10" s="119"/>
      <c r="L10" s="120">
        <f t="shared" si="1"/>
        <v>12</v>
      </c>
      <c r="M10" s="109">
        <f t="shared" si="2"/>
        <v>295.20000000000005</v>
      </c>
      <c r="N10" s="42"/>
    </row>
    <row r="11" spans="1:19" x14ac:dyDescent="0.3">
      <c r="B11" s="114" t="s">
        <v>0</v>
      </c>
      <c r="C11" s="114" t="s">
        <v>10</v>
      </c>
      <c r="D11" s="114" t="s">
        <v>17</v>
      </c>
      <c r="E11" s="115">
        <v>31.5</v>
      </c>
      <c r="F11" s="116">
        <v>45</v>
      </c>
      <c r="G11" s="117" t="e">
        <f>#REF!/(1-0.25)</f>
        <v>#REF!</v>
      </c>
      <c r="H11" s="114">
        <v>10</v>
      </c>
      <c r="I11" s="118"/>
      <c r="J11" s="118">
        <f t="shared" si="0"/>
        <v>450</v>
      </c>
      <c r="K11" s="119"/>
      <c r="L11" s="120">
        <f t="shared" si="1"/>
        <v>10</v>
      </c>
      <c r="M11" s="109">
        <f t="shared" si="2"/>
        <v>315</v>
      </c>
      <c r="N11" s="42"/>
    </row>
    <row r="12" spans="1:19" x14ac:dyDescent="0.3">
      <c r="B12" s="114" t="s">
        <v>0</v>
      </c>
      <c r="C12" s="114" t="s">
        <v>18</v>
      </c>
      <c r="D12" s="114" t="s">
        <v>19</v>
      </c>
      <c r="E12" s="115">
        <v>13.36</v>
      </c>
      <c r="F12" s="116">
        <v>19</v>
      </c>
      <c r="G12" s="117" t="e">
        <f>#REF!/(1-0.25)</f>
        <v>#REF!</v>
      </c>
      <c r="H12" s="114">
        <v>27</v>
      </c>
      <c r="I12" s="118"/>
      <c r="J12" s="118">
        <f t="shared" si="0"/>
        <v>513</v>
      </c>
      <c r="K12" s="119"/>
      <c r="L12" s="120">
        <f t="shared" si="1"/>
        <v>27</v>
      </c>
      <c r="M12" s="109">
        <f t="shared" si="2"/>
        <v>360.71999999999997</v>
      </c>
      <c r="N12" s="42"/>
    </row>
    <row r="13" spans="1:19" x14ac:dyDescent="0.3">
      <c r="B13" s="114" t="s">
        <v>0</v>
      </c>
      <c r="C13" s="114" t="s">
        <v>18</v>
      </c>
      <c r="D13" s="114" t="s">
        <v>20</v>
      </c>
      <c r="E13" s="115">
        <v>13.36</v>
      </c>
      <c r="F13" s="116">
        <v>19</v>
      </c>
      <c r="G13" s="117" t="e">
        <f>#REF!/(1-0.25)</f>
        <v>#REF!</v>
      </c>
      <c r="H13" s="114">
        <f>34+12</f>
        <v>46</v>
      </c>
      <c r="I13" s="118"/>
      <c r="J13" s="118">
        <f t="shared" si="0"/>
        <v>874</v>
      </c>
      <c r="K13" s="119"/>
      <c r="L13" s="120">
        <f t="shared" si="1"/>
        <v>46</v>
      </c>
      <c r="M13" s="109">
        <f t="shared" si="2"/>
        <v>614.55999999999995</v>
      </c>
      <c r="N13" s="42"/>
    </row>
    <row r="14" spans="1:19" x14ac:dyDescent="0.3">
      <c r="B14" s="114" t="s">
        <v>0</v>
      </c>
      <c r="C14" s="114" t="s">
        <v>18</v>
      </c>
      <c r="D14" s="114" t="s">
        <v>21</v>
      </c>
      <c r="E14" s="115">
        <v>13.36</v>
      </c>
      <c r="F14" s="116">
        <v>19</v>
      </c>
      <c r="G14" s="117" t="e">
        <f>#REF!/(1-0.25)</f>
        <v>#REF!</v>
      </c>
      <c r="H14" s="114">
        <v>15</v>
      </c>
      <c r="I14" s="118"/>
      <c r="J14" s="118">
        <f t="shared" si="0"/>
        <v>285</v>
      </c>
      <c r="K14" s="119"/>
      <c r="L14" s="120">
        <f t="shared" si="1"/>
        <v>15</v>
      </c>
      <c r="M14" s="109">
        <f t="shared" si="2"/>
        <v>200.39999999999998</v>
      </c>
      <c r="N14" s="42"/>
    </row>
    <row r="15" spans="1:19" x14ac:dyDescent="0.3">
      <c r="B15" s="114" t="s">
        <v>0</v>
      </c>
      <c r="C15" s="114" t="s">
        <v>18</v>
      </c>
      <c r="D15" s="114" t="s">
        <v>22</v>
      </c>
      <c r="E15" s="115">
        <v>14.5</v>
      </c>
      <c r="F15" s="116">
        <v>21</v>
      </c>
      <c r="G15" s="117" t="e">
        <f>#REF!/(1-0.25)</f>
        <v>#REF!</v>
      </c>
      <c r="H15" s="114">
        <v>17</v>
      </c>
      <c r="I15" s="118"/>
      <c r="J15" s="118">
        <f t="shared" si="0"/>
        <v>357</v>
      </c>
      <c r="K15" s="119"/>
      <c r="L15" s="120">
        <f t="shared" si="1"/>
        <v>17</v>
      </c>
      <c r="M15" s="109">
        <f t="shared" si="2"/>
        <v>246.5</v>
      </c>
      <c r="N15" s="42"/>
      <c r="S15">
        <f>21*3</f>
        <v>63</v>
      </c>
    </row>
    <row r="16" spans="1:19" x14ac:dyDescent="0.3">
      <c r="B16" s="114" t="s">
        <v>0</v>
      </c>
      <c r="C16" s="114" t="s">
        <v>18</v>
      </c>
      <c r="D16" s="114" t="s">
        <v>23</v>
      </c>
      <c r="E16" s="115">
        <v>14.5</v>
      </c>
      <c r="F16" s="116">
        <v>21</v>
      </c>
      <c r="G16" s="117" t="e">
        <f>#REF!/(1-0.25)</f>
        <v>#REF!</v>
      </c>
      <c r="H16" s="114">
        <v>15</v>
      </c>
      <c r="I16" s="118"/>
      <c r="J16" s="118">
        <f t="shared" si="0"/>
        <v>315</v>
      </c>
      <c r="K16" s="119"/>
      <c r="L16" s="120">
        <f t="shared" si="1"/>
        <v>15</v>
      </c>
      <c r="M16" s="109">
        <f t="shared" si="2"/>
        <v>217.5</v>
      </c>
      <c r="N16" s="42"/>
      <c r="S16">
        <f>100-63</f>
        <v>37</v>
      </c>
    </row>
    <row r="17" spans="2:14" x14ac:dyDescent="0.3">
      <c r="B17" s="114" t="s">
        <v>0</v>
      </c>
      <c r="C17" s="114" t="s">
        <v>18</v>
      </c>
      <c r="D17" s="114" t="s">
        <v>24</v>
      </c>
      <c r="E17" s="115">
        <v>13.36</v>
      </c>
      <c r="F17" s="116">
        <v>19</v>
      </c>
      <c r="G17" s="117" t="e">
        <f>#REF!/(1-0.25)</f>
        <v>#REF!</v>
      </c>
      <c r="H17" s="114">
        <v>31</v>
      </c>
      <c r="I17" s="118"/>
      <c r="J17" s="118">
        <f t="shared" si="0"/>
        <v>589</v>
      </c>
      <c r="K17" s="119"/>
      <c r="L17" s="120">
        <f t="shared" si="1"/>
        <v>31</v>
      </c>
      <c r="M17" s="109">
        <f t="shared" si="2"/>
        <v>414.15999999999997</v>
      </c>
      <c r="N17" s="42"/>
    </row>
    <row r="18" spans="2:14" x14ac:dyDescent="0.3">
      <c r="B18" s="114" t="s">
        <v>0</v>
      </c>
      <c r="C18" s="114" t="s">
        <v>18</v>
      </c>
      <c r="D18" s="114" t="s">
        <v>25</v>
      </c>
      <c r="E18" s="115">
        <v>13.36</v>
      </c>
      <c r="F18" s="116">
        <v>19</v>
      </c>
      <c r="G18" s="117" t="e">
        <f>#REF!/(1-0.25)</f>
        <v>#REF!</v>
      </c>
      <c r="H18" s="114">
        <v>14</v>
      </c>
      <c r="I18" s="118"/>
      <c r="J18" s="118">
        <f t="shared" si="0"/>
        <v>266</v>
      </c>
      <c r="K18" s="119"/>
      <c r="L18" s="120">
        <f t="shared" si="1"/>
        <v>14</v>
      </c>
      <c r="M18" s="109">
        <f t="shared" si="2"/>
        <v>187.04</v>
      </c>
      <c r="N18" s="42"/>
    </row>
    <row r="19" spans="2:14" x14ac:dyDescent="0.3">
      <c r="B19" s="114" t="s">
        <v>0</v>
      </c>
      <c r="C19" s="114" t="s">
        <v>26</v>
      </c>
      <c r="D19" s="114" t="s">
        <v>20</v>
      </c>
      <c r="E19" s="115">
        <v>12.38</v>
      </c>
      <c r="F19" s="116">
        <v>18</v>
      </c>
      <c r="G19" s="117" t="e">
        <f>#REF!/(1-0.25)</f>
        <v>#REF!</v>
      </c>
      <c r="H19" s="114">
        <v>58</v>
      </c>
      <c r="I19" s="118"/>
      <c r="J19" s="118">
        <f t="shared" si="0"/>
        <v>1044</v>
      </c>
      <c r="K19" s="119"/>
      <c r="L19" s="120">
        <f t="shared" si="1"/>
        <v>58</v>
      </c>
      <c r="M19" s="109">
        <f t="shared" si="2"/>
        <v>718.04000000000008</v>
      </c>
      <c r="N19" s="42"/>
    </row>
    <row r="20" spans="2:14" x14ac:dyDescent="0.3">
      <c r="B20" s="114" t="s">
        <v>0</v>
      </c>
      <c r="C20" s="114" t="s">
        <v>26</v>
      </c>
      <c r="D20" s="114" t="s">
        <v>19</v>
      </c>
      <c r="E20" s="115">
        <v>12.38</v>
      </c>
      <c r="F20" s="116">
        <v>18</v>
      </c>
      <c r="G20" s="117" t="e">
        <f>#REF!/(1-0.25)</f>
        <v>#REF!</v>
      </c>
      <c r="H20" s="114">
        <v>45</v>
      </c>
      <c r="I20" s="118" t="s">
        <v>27</v>
      </c>
      <c r="J20" s="118">
        <f t="shared" si="0"/>
        <v>810</v>
      </c>
      <c r="K20" s="119"/>
      <c r="L20" s="120">
        <f t="shared" si="1"/>
        <v>45</v>
      </c>
      <c r="M20" s="109">
        <f t="shared" si="2"/>
        <v>557.1</v>
      </c>
      <c r="N20" s="42"/>
    </row>
    <row r="21" spans="2:14" x14ac:dyDescent="0.3">
      <c r="B21" s="114" t="s">
        <v>0</v>
      </c>
      <c r="C21" s="114" t="s">
        <v>26</v>
      </c>
      <c r="D21" s="114" t="s">
        <v>28</v>
      </c>
      <c r="E21" s="115">
        <v>12.38</v>
      </c>
      <c r="F21" s="116">
        <v>18</v>
      </c>
      <c r="G21" s="117" t="e">
        <f>#REF!/(1-0.25)</f>
        <v>#REF!</v>
      </c>
      <c r="H21" s="114">
        <v>24</v>
      </c>
      <c r="I21" s="118"/>
      <c r="J21" s="118">
        <f t="shared" si="0"/>
        <v>432</v>
      </c>
      <c r="K21" s="119"/>
      <c r="L21" s="120">
        <f t="shared" si="1"/>
        <v>24</v>
      </c>
      <c r="M21" s="109">
        <f t="shared" si="2"/>
        <v>297.12</v>
      </c>
      <c r="N21" s="42"/>
    </row>
    <row r="22" spans="2:14" x14ac:dyDescent="0.3">
      <c r="B22" s="114" t="s">
        <v>0</v>
      </c>
      <c r="C22" s="114" t="s">
        <v>26</v>
      </c>
      <c r="D22" s="114" t="s">
        <v>29</v>
      </c>
      <c r="E22" s="115">
        <v>12.38</v>
      </c>
      <c r="F22" s="116">
        <v>18</v>
      </c>
      <c r="G22" s="117" t="e">
        <f>#REF!/(1-0.25)</f>
        <v>#REF!</v>
      </c>
      <c r="H22" s="114">
        <v>34</v>
      </c>
      <c r="I22" s="118"/>
      <c r="J22" s="118">
        <f t="shared" si="0"/>
        <v>612</v>
      </c>
      <c r="K22" s="119"/>
      <c r="L22" s="120">
        <f t="shared" si="1"/>
        <v>34</v>
      </c>
      <c r="M22" s="109">
        <f t="shared" si="2"/>
        <v>420.92</v>
      </c>
      <c r="N22" s="42"/>
    </row>
    <row r="23" spans="2:14" x14ac:dyDescent="0.3">
      <c r="B23" s="114" t="s">
        <v>0</v>
      </c>
      <c r="C23" s="114" t="s">
        <v>26</v>
      </c>
      <c r="D23" s="114" t="s">
        <v>21</v>
      </c>
      <c r="E23" s="115">
        <v>12.38</v>
      </c>
      <c r="F23" s="116">
        <v>18</v>
      </c>
      <c r="G23" s="117" t="e">
        <f>#REF!/(1-0.25)</f>
        <v>#REF!</v>
      </c>
      <c r="H23" s="114">
        <v>21</v>
      </c>
      <c r="I23" s="118"/>
      <c r="J23" s="118">
        <f t="shared" si="0"/>
        <v>378</v>
      </c>
      <c r="K23" s="119"/>
      <c r="L23" s="120">
        <f t="shared" si="1"/>
        <v>21</v>
      </c>
      <c r="M23" s="109">
        <f t="shared" si="2"/>
        <v>259.98</v>
      </c>
      <c r="N23" s="42"/>
    </row>
    <row r="24" spans="2:14" x14ac:dyDescent="0.3">
      <c r="B24" s="114" t="s">
        <v>0</v>
      </c>
      <c r="C24" s="114" t="s">
        <v>26</v>
      </c>
      <c r="D24" s="114" t="s">
        <v>30</v>
      </c>
      <c r="E24" s="115">
        <v>13</v>
      </c>
      <c r="F24" s="116">
        <v>20</v>
      </c>
      <c r="G24" s="117" t="e">
        <f>#REF!/(1-0.25)</f>
        <v>#REF!</v>
      </c>
      <c r="H24" s="114">
        <v>21</v>
      </c>
      <c r="I24" s="118"/>
      <c r="J24" s="118">
        <f t="shared" si="0"/>
        <v>420</v>
      </c>
      <c r="K24" s="119"/>
      <c r="L24" s="120">
        <f t="shared" si="1"/>
        <v>21</v>
      </c>
      <c r="M24" s="109">
        <f t="shared" si="2"/>
        <v>273</v>
      </c>
      <c r="N24" s="42"/>
    </row>
    <row r="25" spans="2:14" x14ac:dyDescent="0.3">
      <c r="B25" s="114" t="s">
        <v>0</v>
      </c>
      <c r="C25" s="114" t="s">
        <v>26</v>
      </c>
      <c r="D25" s="114" t="s">
        <v>31</v>
      </c>
      <c r="E25" s="115">
        <v>13</v>
      </c>
      <c r="F25" s="116">
        <v>20</v>
      </c>
      <c r="G25" s="117" t="e">
        <f>#REF!/(1-0.25)</f>
        <v>#REF!</v>
      </c>
      <c r="H25" s="114">
        <v>13</v>
      </c>
      <c r="I25" s="118"/>
      <c r="J25" s="118">
        <f t="shared" si="0"/>
        <v>260</v>
      </c>
      <c r="K25" s="119"/>
      <c r="L25" s="120">
        <f t="shared" si="1"/>
        <v>13</v>
      </c>
      <c r="M25" s="109">
        <f t="shared" si="2"/>
        <v>169</v>
      </c>
      <c r="N25" s="42"/>
    </row>
    <row r="26" spans="2:14" x14ac:dyDescent="0.3">
      <c r="B26" s="114" t="s">
        <v>0</v>
      </c>
      <c r="C26" s="114" t="s">
        <v>26</v>
      </c>
      <c r="D26" s="114" t="s">
        <v>32</v>
      </c>
      <c r="E26" s="115">
        <v>13</v>
      </c>
      <c r="F26" s="116">
        <v>20</v>
      </c>
      <c r="G26" s="117" t="e">
        <f>#REF!/(1-0.25)</f>
        <v>#REF!</v>
      </c>
      <c r="H26" s="114">
        <v>12</v>
      </c>
      <c r="I26" s="118"/>
      <c r="J26" s="118">
        <f t="shared" si="0"/>
        <v>240</v>
      </c>
      <c r="K26" s="119"/>
      <c r="L26" s="120">
        <f t="shared" si="1"/>
        <v>12</v>
      </c>
      <c r="M26" s="109">
        <f t="shared" si="2"/>
        <v>156</v>
      </c>
      <c r="N26" s="42"/>
    </row>
    <row r="27" spans="2:14" x14ac:dyDescent="0.3">
      <c r="B27" s="114" t="s">
        <v>0</v>
      </c>
      <c r="C27" s="114" t="s">
        <v>26</v>
      </c>
      <c r="D27" s="114" t="s">
        <v>33</v>
      </c>
      <c r="E27" s="115">
        <v>13</v>
      </c>
      <c r="F27" s="116">
        <v>20</v>
      </c>
      <c r="G27" s="117" t="e">
        <f>#REF!/(1-0.25)</f>
        <v>#REF!</v>
      </c>
      <c r="H27" s="114">
        <v>39</v>
      </c>
      <c r="I27" s="118"/>
      <c r="J27" s="118">
        <f t="shared" si="0"/>
        <v>780</v>
      </c>
      <c r="K27" s="119"/>
      <c r="L27" s="120">
        <f t="shared" si="1"/>
        <v>39</v>
      </c>
      <c r="M27" s="109">
        <f t="shared" si="2"/>
        <v>507</v>
      </c>
      <c r="N27" s="42"/>
    </row>
    <row r="28" spans="2:14" x14ac:dyDescent="0.3">
      <c r="B28" s="114" t="s">
        <v>0</v>
      </c>
      <c r="C28" s="114" t="s">
        <v>26</v>
      </c>
      <c r="D28" s="114" t="s">
        <v>392</v>
      </c>
      <c r="E28" s="115">
        <v>33</v>
      </c>
      <c r="F28" s="116">
        <v>42</v>
      </c>
      <c r="G28" s="117"/>
      <c r="H28" s="114">
        <v>1</v>
      </c>
      <c r="I28" s="118"/>
      <c r="J28" s="118">
        <f t="shared" si="0"/>
        <v>42</v>
      </c>
      <c r="K28" s="119"/>
      <c r="L28" s="120">
        <f t="shared" si="1"/>
        <v>1</v>
      </c>
      <c r="M28" s="109">
        <f t="shared" si="2"/>
        <v>33</v>
      </c>
      <c r="N28" s="42"/>
    </row>
    <row r="29" spans="2:14" x14ac:dyDescent="0.3">
      <c r="B29" s="114" t="s">
        <v>0</v>
      </c>
      <c r="C29" s="114" t="s">
        <v>34</v>
      </c>
      <c r="D29" s="114" t="s">
        <v>35</v>
      </c>
      <c r="E29" s="115">
        <v>29.99</v>
      </c>
      <c r="F29" s="116">
        <v>39</v>
      </c>
      <c r="G29" s="117" t="e">
        <f>#REF!/(1-0.25)</f>
        <v>#REF!</v>
      </c>
      <c r="H29" s="114">
        <v>6</v>
      </c>
      <c r="I29" s="118"/>
      <c r="J29" s="118">
        <f t="shared" si="0"/>
        <v>234</v>
      </c>
      <c r="K29" s="119"/>
      <c r="L29" s="120">
        <f t="shared" si="1"/>
        <v>6</v>
      </c>
      <c r="M29" s="109">
        <f t="shared" si="2"/>
        <v>179.94</v>
      </c>
      <c r="N29" s="42"/>
    </row>
    <row r="30" spans="2:14" x14ac:dyDescent="0.3">
      <c r="B30" s="114" t="s">
        <v>0</v>
      </c>
      <c r="C30" s="114" t="s">
        <v>34</v>
      </c>
      <c r="D30" s="114" t="s">
        <v>36</v>
      </c>
      <c r="E30" s="115">
        <v>29.99</v>
      </c>
      <c r="F30" s="116">
        <v>39</v>
      </c>
      <c r="G30" s="117" t="e">
        <f>#REF!/(1-0.25)</f>
        <v>#REF!</v>
      </c>
      <c r="H30" s="114">
        <v>4</v>
      </c>
      <c r="I30" s="118"/>
      <c r="J30" s="118">
        <f t="shared" si="0"/>
        <v>156</v>
      </c>
      <c r="K30" s="119"/>
      <c r="L30" s="120">
        <f t="shared" si="1"/>
        <v>4</v>
      </c>
      <c r="M30" s="109">
        <f t="shared" si="2"/>
        <v>119.96</v>
      </c>
      <c r="N30" s="42"/>
    </row>
    <row r="31" spans="2:14" x14ac:dyDescent="0.3">
      <c r="B31" s="114" t="s">
        <v>0</v>
      </c>
      <c r="C31" s="114" t="s">
        <v>34</v>
      </c>
      <c r="D31" s="114" t="s">
        <v>37</v>
      </c>
      <c r="E31" s="115">
        <v>29.99</v>
      </c>
      <c r="F31" s="116">
        <v>39</v>
      </c>
      <c r="G31" s="117" t="e">
        <f>#REF!/(1-0.25)</f>
        <v>#REF!</v>
      </c>
      <c r="H31" s="114">
        <v>4</v>
      </c>
      <c r="I31" s="118"/>
      <c r="J31" s="118">
        <f t="shared" si="0"/>
        <v>156</v>
      </c>
      <c r="K31" s="119"/>
      <c r="L31" s="120">
        <f t="shared" si="1"/>
        <v>4</v>
      </c>
      <c r="M31" s="109">
        <f t="shared" si="2"/>
        <v>119.96</v>
      </c>
      <c r="N31" s="42"/>
    </row>
    <row r="32" spans="2:14" x14ac:dyDescent="0.3">
      <c r="B32" s="114" t="s">
        <v>0</v>
      </c>
      <c r="C32" s="114" t="s">
        <v>34</v>
      </c>
      <c r="D32" s="114" t="s">
        <v>14</v>
      </c>
      <c r="E32" s="115">
        <v>29.99</v>
      </c>
      <c r="F32" s="116">
        <v>39</v>
      </c>
      <c r="G32" s="117" t="e">
        <f>#REF!/(1-0.25)</f>
        <v>#REF!</v>
      </c>
      <c r="H32" s="114">
        <v>5</v>
      </c>
      <c r="I32" s="118"/>
      <c r="J32" s="118">
        <f t="shared" si="0"/>
        <v>195</v>
      </c>
      <c r="K32" s="119"/>
      <c r="L32" s="120">
        <f t="shared" si="1"/>
        <v>5</v>
      </c>
      <c r="M32" s="109">
        <f t="shared" si="2"/>
        <v>149.94999999999999</v>
      </c>
      <c r="N32" s="42"/>
    </row>
    <row r="33" spans="2:14" x14ac:dyDescent="0.3">
      <c r="B33" s="114" t="s">
        <v>0</v>
      </c>
      <c r="C33" s="114" t="s">
        <v>34</v>
      </c>
      <c r="D33" s="114" t="s">
        <v>38</v>
      </c>
      <c r="E33" s="115">
        <v>29.99</v>
      </c>
      <c r="F33" s="116">
        <v>39</v>
      </c>
      <c r="G33" s="117" t="e">
        <f>#REF!/(1-0.25)</f>
        <v>#REF!</v>
      </c>
      <c r="H33" s="114">
        <v>6</v>
      </c>
      <c r="I33" s="118"/>
      <c r="J33" s="118">
        <f t="shared" si="0"/>
        <v>234</v>
      </c>
      <c r="K33" s="119"/>
      <c r="L33" s="120">
        <f t="shared" si="1"/>
        <v>6</v>
      </c>
      <c r="M33" s="109">
        <f t="shared" si="2"/>
        <v>179.94</v>
      </c>
      <c r="N33" s="42"/>
    </row>
    <row r="34" spans="2:14" x14ac:dyDescent="0.3">
      <c r="B34" s="114" t="s">
        <v>0</v>
      </c>
      <c r="C34" s="114" t="s">
        <v>34</v>
      </c>
      <c r="D34" s="114" t="s">
        <v>39</v>
      </c>
      <c r="E34" s="115">
        <v>29.99</v>
      </c>
      <c r="F34" s="116">
        <v>39</v>
      </c>
      <c r="G34" s="117" t="e">
        <f>#REF!/(1-0.25)</f>
        <v>#REF!</v>
      </c>
      <c r="H34" s="114">
        <v>5</v>
      </c>
      <c r="I34" s="118"/>
      <c r="J34" s="118">
        <f t="shared" si="0"/>
        <v>195</v>
      </c>
      <c r="K34" s="119"/>
      <c r="L34" s="120">
        <f t="shared" si="1"/>
        <v>5</v>
      </c>
      <c r="M34" s="109">
        <f t="shared" si="2"/>
        <v>149.94999999999999</v>
      </c>
      <c r="N34" s="42"/>
    </row>
    <row r="35" spans="2:14" x14ac:dyDescent="0.3">
      <c r="B35" s="114" t="s">
        <v>0</v>
      </c>
      <c r="C35" s="114" t="s">
        <v>40</v>
      </c>
      <c r="D35" s="114" t="s">
        <v>41</v>
      </c>
      <c r="E35" s="115">
        <v>18.989999999999998</v>
      </c>
      <c r="F35" s="116">
        <v>24</v>
      </c>
      <c r="G35" s="117" t="e">
        <f>#REF!/(1-0.25)</f>
        <v>#REF!</v>
      </c>
      <c r="H35" s="114">
        <v>11</v>
      </c>
      <c r="I35" s="118"/>
      <c r="J35" s="118">
        <f t="shared" si="0"/>
        <v>264</v>
      </c>
      <c r="K35" s="119"/>
      <c r="L35" s="120">
        <f t="shared" si="1"/>
        <v>11</v>
      </c>
      <c r="M35" s="109">
        <f t="shared" si="2"/>
        <v>208.89</v>
      </c>
      <c r="N35" s="42"/>
    </row>
    <row r="36" spans="2:14" x14ac:dyDescent="0.3">
      <c r="B36" s="114" t="s">
        <v>0</v>
      </c>
      <c r="C36" s="114" t="s">
        <v>40</v>
      </c>
      <c r="D36" s="114" t="s">
        <v>42</v>
      </c>
      <c r="E36" s="115">
        <v>18.989999999999998</v>
      </c>
      <c r="F36" s="116">
        <v>24</v>
      </c>
      <c r="G36" s="117" t="e">
        <f>#REF!/(1-0.25)</f>
        <v>#REF!</v>
      </c>
      <c r="H36" s="114">
        <v>7</v>
      </c>
      <c r="I36" s="118"/>
      <c r="J36" s="118">
        <f t="shared" si="0"/>
        <v>168</v>
      </c>
      <c r="K36" s="119"/>
      <c r="L36" s="120">
        <f t="shared" si="1"/>
        <v>7</v>
      </c>
      <c r="M36" s="109">
        <f t="shared" si="2"/>
        <v>132.92999999999998</v>
      </c>
      <c r="N36" s="42"/>
    </row>
    <row r="37" spans="2:14" x14ac:dyDescent="0.3">
      <c r="B37" s="114" t="s">
        <v>0</v>
      </c>
      <c r="C37" s="114" t="s">
        <v>40</v>
      </c>
      <c r="D37" s="114" t="s">
        <v>43</v>
      </c>
      <c r="E37" s="115">
        <v>18.989999999999998</v>
      </c>
      <c r="F37" s="116">
        <v>24</v>
      </c>
      <c r="G37" s="117" t="e">
        <f>#REF!/(1-0.25)</f>
        <v>#REF!</v>
      </c>
      <c r="H37" s="114">
        <v>9</v>
      </c>
      <c r="I37" s="118"/>
      <c r="J37" s="118">
        <f t="shared" ref="J37:J69" si="3">F37*H37</f>
        <v>216</v>
      </c>
      <c r="K37" s="119"/>
      <c r="L37" s="120">
        <f t="shared" si="1"/>
        <v>9</v>
      </c>
      <c r="M37" s="109">
        <f t="shared" si="2"/>
        <v>170.91</v>
      </c>
      <c r="N37" s="42"/>
    </row>
    <row r="38" spans="2:14" x14ac:dyDescent="0.3">
      <c r="B38" s="114" t="s">
        <v>44</v>
      </c>
      <c r="C38" s="114" t="s">
        <v>18</v>
      </c>
      <c r="D38" s="114" t="s">
        <v>45</v>
      </c>
      <c r="E38" s="115">
        <v>29</v>
      </c>
      <c r="F38" s="116">
        <v>40</v>
      </c>
      <c r="G38" s="117" t="e">
        <f>#REF!/(1-0.25)</f>
        <v>#REF!</v>
      </c>
      <c r="H38" s="114">
        <v>6</v>
      </c>
      <c r="I38" s="118"/>
      <c r="J38" s="118">
        <f t="shared" si="3"/>
        <v>240</v>
      </c>
      <c r="K38" s="119"/>
      <c r="L38" s="120">
        <f t="shared" si="1"/>
        <v>6</v>
      </c>
      <c r="M38" s="109">
        <f t="shared" si="2"/>
        <v>174</v>
      </c>
      <c r="N38" s="42"/>
    </row>
    <row r="39" spans="2:14" x14ac:dyDescent="0.3">
      <c r="B39" s="114" t="s">
        <v>44</v>
      </c>
      <c r="C39" s="114" t="s">
        <v>18</v>
      </c>
      <c r="D39" s="114" t="s">
        <v>46</v>
      </c>
      <c r="E39" s="115">
        <v>29</v>
      </c>
      <c r="F39" s="116">
        <v>40</v>
      </c>
      <c r="G39" s="117" t="e">
        <f>#REF!/(1-0.25)</f>
        <v>#REF!</v>
      </c>
      <c r="H39" s="114">
        <v>3</v>
      </c>
      <c r="I39" s="118"/>
      <c r="J39" s="118">
        <f t="shared" si="3"/>
        <v>120</v>
      </c>
      <c r="K39" s="119"/>
      <c r="L39" s="120">
        <f t="shared" si="1"/>
        <v>3</v>
      </c>
      <c r="M39" s="109">
        <f t="shared" si="2"/>
        <v>87</v>
      </c>
      <c r="N39" s="42"/>
    </row>
    <row r="40" spans="2:14" x14ac:dyDescent="0.3">
      <c r="B40" s="114" t="s">
        <v>44</v>
      </c>
      <c r="C40" s="114" t="s">
        <v>18</v>
      </c>
      <c r="D40" s="114" t="s">
        <v>47</v>
      </c>
      <c r="E40" s="115">
        <v>26</v>
      </c>
      <c r="F40" s="116">
        <v>37</v>
      </c>
      <c r="G40" s="117" t="e">
        <f>#REF!/(1-0.25)</f>
        <v>#REF!</v>
      </c>
      <c r="H40" s="114">
        <v>6</v>
      </c>
      <c r="I40" s="118"/>
      <c r="J40" s="118">
        <f t="shared" si="3"/>
        <v>222</v>
      </c>
      <c r="K40" s="119"/>
      <c r="L40" s="120">
        <f t="shared" si="1"/>
        <v>6</v>
      </c>
      <c r="M40" s="109">
        <f t="shared" si="2"/>
        <v>156</v>
      </c>
      <c r="N40" s="42"/>
    </row>
    <row r="41" spans="2:14" x14ac:dyDescent="0.3">
      <c r="B41" s="114" t="s">
        <v>44</v>
      </c>
      <c r="C41" s="114" t="s">
        <v>18</v>
      </c>
      <c r="D41" s="114" t="s">
        <v>48</v>
      </c>
      <c r="E41" s="115">
        <v>26</v>
      </c>
      <c r="F41" s="116">
        <v>37</v>
      </c>
      <c r="G41" s="117" t="e">
        <f>#REF!/(1-0.25)</f>
        <v>#REF!</v>
      </c>
      <c r="H41" s="114">
        <v>5</v>
      </c>
      <c r="I41" s="118"/>
      <c r="J41" s="118">
        <f t="shared" si="3"/>
        <v>185</v>
      </c>
      <c r="K41" s="119"/>
      <c r="L41" s="120">
        <f t="shared" si="1"/>
        <v>5</v>
      </c>
      <c r="M41" s="109">
        <f t="shared" si="2"/>
        <v>130</v>
      </c>
      <c r="N41" s="42"/>
    </row>
    <row r="42" spans="2:14" x14ac:dyDescent="0.3">
      <c r="B42" s="114" t="s">
        <v>44</v>
      </c>
      <c r="C42" s="114" t="s">
        <v>18</v>
      </c>
      <c r="D42" s="114" t="s">
        <v>49</v>
      </c>
      <c r="E42" s="115">
        <v>26</v>
      </c>
      <c r="F42" s="116">
        <v>37</v>
      </c>
      <c r="G42" s="117" t="e">
        <f>#REF!/(1-0.25)</f>
        <v>#REF!</v>
      </c>
      <c r="H42" s="114">
        <v>3</v>
      </c>
      <c r="I42" s="118"/>
      <c r="J42" s="118">
        <f t="shared" si="3"/>
        <v>111</v>
      </c>
      <c r="K42" s="119"/>
      <c r="L42" s="120">
        <f t="shared" si="1"/>
        <v>3</v>
      </c>
      <c r="M42" s="109">
        <f t="shared" si="2"/>
        <v>78</v>
      </c>
      <c r="N42" s="42"/>
    </row>
    <row r="43" spans="2:14" x14ac:dyDescent="0.3">
      <c r="B43" s="114" t="s">
        <v>44</v>
      </c>
      <c r="C43" s="114" t="s">
        <v>18</v>
      </c>
      <c r="D43" s="114" t="s">
        <v>50</v>
      </c>
      <c r="E43" s="115">
        <v>16</v>
      </c>
      <c r="F43" s="116">
        <v>21</v>
      </c>
      <c r="G43" s="117" t="e">
        <f>#REF!/(1-0.25)</f>
        <v>#REF!</v>
      </c>
      <c r="H43" s="114">
        <v>3</v>
      </c>
      <c r="I43" s="118"/>
      <c r="J43" s="118">
        <f t="shared" si="3"/>
        <v>63</v>
      </c>
      <c r="K43" s="119"/>
      <c r="L43" s="120">
        <f t="shared" si="1"/>
        <v>3</v>
      </c>
      <c r="M43" s="109">
        <f t="shared" si="2"/>
        <v>48</v>
      </c>
      <c r="N43" s="42"/>
    </row>
    <row r="44" spans="2:14" x14ac:dyDescent="0.3">
      <c r="B44" s="114" t="s">
        <v>44</v>
      </c>
      <c r="C44" s="114" t="s">
        <v>18</v>
      </c>
      <c r="D44" s="114" t="s">
        <v>51</v>
      </c>
      <c r="E44" s="115">
        <v>16</v>
      </c>
      <c r="F44" s="116">
        <v>21</v>
      </c>
      <c r="G44" s="117" t="e">
        <f>#REF!/(1-0.25)</f>
        <v>#REF!</v>
      </c>
      <c r="H44" s="114">
        <v>5</v>
      </c>
      <c r="I44" s="118"/>
      <c r="J44" s="118">
        <f t="shared" si="3"/>
        <v>105</v>
      </c>
      <c r="K44" s="119"/>
      <c r="L44" s="120">
        <f t="shared" si="1"/>
        <v>5</v>
      </c>
      <c r="M44" s="109">
        <f t="shared" si="2"/>
        <v>80</v>
      </c>
      <c r="N44" s="42"/>
    </row>
    <row r="45" spans="2:14" x14ac:dyDescent="0.3">
      <c r="B45" s="114" t="s">
        <v>44</v>
      </c>
      <c r="C45" s="114" t="s">
        <v>18</v>
      </c>
      <c r="D45" s="114" t="s">
        <v>52</v>
      </c>
      <c r="E45" s="115">
        <v>16</v>
      </c>
      <c r="F45" s="116">
        <v>21</v>
      </c>
      <c r="G45" s="117" t="e">
        <f>#REF!/(1-0.25)</f>
        <v>#REF!</v>
      </c>
      <c r="H45" s="114">
        <v>0</v>
      </c>
      <c r="I45" s="118"/>
      <c r="J45" s="118">
        <f t="shared" si="3"/>
        <v>0</v>
      </c>
      <c r="K45" s="119"/>
      <c r="L45" s="120">
        <f t="shared" si="1"/>
        <v>0</v>
      </c>
      <c r="M45" s="109">
        <f t="shared" si="2"/>
        <v>0</v>
      </c>
      <c r="N45" s="42"/>
    </row>
    <row r="46" spans="2:14" x14ac:dyDescent="0.3">
      <c r="B46" s="114" t="s">
        <v>44</v>
      </c>
      <c r="C46" s="114" t="s">
        <v>18</v>
      </c>
      <c r="D46" s="114" t="s">
        <v>53</v>
      </c>
      <c r="E46" s="115">
        <v>16</v>
      </c>
      <c r="F46" s="116">
        <v>21</v>
      </c>
      <c r="G46" s="117" t="e">
        <f>#REF!/(1-0.25)</f>
        <v>#REF!</v>
      </c>
      <c r="H46" s="114">
        <v>2</v>
      </c>
      <c r="I46" s="118"/>
      <c r="J46" s="118">
        <f t="shared" si="3"/>
        <v>42</v>
      </c>
      <c r="K46" s="119"/>
      <c r="L46" s="120">
        <f t="shared" si="1"/>
        <v>2</v>
      </c>
      <c r="M46" s="109">
        <f t="shared" si="2"/>
        <v>32</v>
      </c>
      <c r="N46" s="42"/>
    </row>
    <row r="47" spans="2:14" x14ac:dyDescent="0.3">
      <c r="B47" s="114" t="s">
        <v>44</v>
      </c>
      <c r="C47" s="114" t="s">
        <v>310</v>
      </c>
      <c r="D47" s="114" t="s">
        <v>311</v>
      </c>
      <c r="E47" s="115">
        <v>22.66</v>
      </c>
      <c r="F47" s="116">
        <v>44</v>
      </c>
      <c r="G47" s="117"/>
      <c r="H47" s="114">
        <v>5</v>
      </c>
      <c r="I47" s="118"/>
      <c r="J47" s="118">
        <f t="shared" si="3"/>
        <v>220</v>
      </c>
      <c r="K47" s="119"/>
      <c r="L47" s="120">
        <f t="shared" si="1"/>
        <v>5</v>
      </c>
      <c r="M47" s="109">
        <f t="shared" si="2"/>
        <v>113.3</v>
      </c>
      <c r="N47" s="42"/>
    </row>
    <row r="48" spans="2:14" x14ac:dyDescent="0.3">
      <c r="B48" s="114" t="s">
        <v>44</v>
      </c>
      <c r="C48" s="114" t="s">
        <v>310</v>
      </c>
      <c r="D48" s="114" t="s">
        <v>312</v>
      </c>
      <c r="E48" s="115">
        <v>22.66</v>
      </c>
      <c r="F48" s="116">
        <v>44</v>
      </c>
      <c r="G48" s="117"/>
      <c r="H48" s="114">
        <v>6</v>
      </c>
      <c r="I48" s="118"/>
      <c r="J48" s="118">
        <f t="shared" si="3"/>
        <v>264</v>
      </c>
      <c r="K48" s="119"/>
      <c r="L48" s="120">
        <f t="shared" si="1"/>
        <v>6</v>
      </c>
      <c r="M48" s="109">
        <f t="shared" si="2"/>
        <v>135.96</v>
      </c>
      <c r="N48" s="42"/>
    </row>
    <row r="49" spans="1:14" x14ac:dyDescent="0.3">
      <c r="B49" s="114" t="s">
        <v>296</v>
      </c>
      <c r="C49" s="114" t="s">
        <v>297</v>
      </c>
      <c r="D49" s="114" t="s">
        <v>298</v>
      </c>
      <c r="E49" s="115">
        <v>13</v>
      </c>
      <c r="F49" s="116">
        <v>16</v>
      </c>
      <c r="G49" s="117"/>
      <c r="H49" s="114">
        <v>12</v>
      </c>
      <c r="I49" s="118"/>
      <c r="J49" s="118">
        <f t="shared" si="3"/>
        <v>192</v>
      </c>
      <c r="K49" s="119"/>
      <c r="L49" s="120">
        <f t="shared" si="1"/>
        <v>12</v>
      </c>
      <c r="M49" s="109">
        <f t="shared" si="2"/>
        <v>156</v>
      </c>
      <c r="N49" s="42"/>
    </row>
    <row r="50" spans="1:14" x14ac:dyDescent="0.3">
      <c r="B50" s="114" t="s">
        <v>296</v>
      </c>
      <c r="C50" s="114" t="s">
        <v>302</v>
      </c>
      <c r="D50" s="114" t="s">
        <v>303</v>
      </c>
      <c r="E50" s="114">
        <v>46.7</v>
      </c>
      <c r="F50" s="116">
        <v>60</v>
      </c>
      <c r="G50" s="117"/>
      <c r="H50" s="114">
        <v>3</v>
      </c>
      <c r="I50" s="118"/>
      <c r="J50" s="118">
        <f t="shared" si="3"/>
        <v>180</v>
      </c>
      <c r="K50" s="119"/>
      <c r="L50" s="120">
        <f t="shared" si="1"/>
        <v>3</v>
      </c>
      <c r="M50" s="109">
        <f t="shared" si="2"/>
        <v>140.10000000000002</v>
      </c>
      <c r="N50" s="42"/>
    </row>
    <row r="51" spans="1:14" x14ac:dyDescent="0.3">
      <c r="B51" s="114" t="s">
        <v>296</v>
      </c>
      <c r="C51" s="114" t="s">
        <v>302</v>
      </c>
      <c r="D51" s="114" t="s">
        <v>304</v>
      </c>
      <c r="E51" s="114">
        <v>46.7</v>
      </c>
      <c r="F51" s="116">
        <v>60</v>
      </c>
      <c r="G51" s="117"/>
      <c r="H51" s="114">
        <v>1</v>
      </c>
      <c r="I51" s="118"/>
      <c r="J51" s="118">
        <f t="shared" si="3"/>
        <v>60</v>
      </c>
      <c r="K51" s="119"/>
      <c r="L51" s="120">
        <f t="shared" si="1"/>
        <v>1</v>
      </c>
      <c r="M51" s="109">
        <f t="shared" si="2"/>
        <v>46.7</v>
      </c>
      <c r="N51" s="42"/>
    </row>
    <row r="52" spans="1:14" x14ac:dyDescent="0.3">
      <c r="B52" s="114" t="s">
        <v>296</v>
      </c>
      <c r="C52" s="114" t="s">
        <v>302</v>
      </c>
      <c r="D52" s="114" t="s">
        <v>376</v>
      </c>
      <c r="E52" s="114">
        <v>16</v>
      </c>
      <c r="F52" s="116">
        <v>20</v>
      </c>
      <c r="G52" s="117"/>
      <c r="H52" s="114">
        <v>2</v>
      </c>
      <c r="I52" s="118"/>
      <c r="J52" s="118"/>
      <c r="K52" s="119"/>
      <c r="L52" s="120">
        <f t="shared" si="1"/>
        <v>2</v>
      </c>
      <c r="M52" s="109">
        <f t="shared" si="2"/>
        <v>32</v>
      </c>
      <c r="N52" s="42"/>
    </row>
    <row r="53" spans="1:14" x14ac:dyDescent="0.3">
      <c r="B53" s="114" t="s">
        <v>44</v>
      </c>
      <c r="C53" s="114" t="s">
        <v>26</v>
      </c>
      <c r="D53" s="114" t="s">
        <v>54</v>
      </c>
      <c r="E53" s="115">
        <v>22.66</v>
      </c>
      <c r="F53" s="116">
        <v>33</v>
      </c>
      <c r="G53" s="117" t="e">
        <f>#REF!/(1-0.25)</f>
        <v>#REF!</v>
      </c>
      <c r="H53" s="114">
        <v>8</v>
      </c>
      <c r="I53" s="118"/>
      <c r="J53" s="118">
        <f t="shared" si="3"/>
        <v>264</v>
      </c>
      <c r="K53" s="119"/>
      <c r="L53" s="120">
        <f t="shared" si="1"/>
        <v>8</v>
      </c>
      <c r="M53" s="109">
        <f t="shared" si="2"/>
        <v>181.28</v>
      </c>
      <c r="N53" s="42"/>
    </row>
    <row r="54" spans="1:14" x14ac:dyDescent="0.3">
      <c r="B54" s="114" t="s">
        <v>44</v>
      </c>
      <c r="C54" s="114" t="s">
        <v>26</v>
      </c>
      <c r="D54" s="114" t="s">
        <v>55</v>
      </c>
      <c r="E54" s="115">
        <v>22.66</v>
      </c>
      <c r="F54" s="116">
        <v>33</v>
      </c>
      <c r="G54" s="117" t="e">
        <f>#REF!/(1-0.25)</f>
        <v>#REF!</v>
      </c>
      <c r="H54" s="114">
        <v>25</v>
      </c>
      <c r="I54" s="118"/>
      <c r="J54" s="118">
        <f t="shared" si="3"/>
        <v>825</v>
      </c>
      <c r="K54" s="119"/>
      <c r="L54" s="120">
        <f t="shared" si="1"/>
        <v>25</v>
      </c>
      <c r="M54" s="109">
        <f t="shared" si="2"/>
        <v>566.5</v>
      </c>
      <c r="N54" s="42"/>
    </row>
    <row r="55" spans="1:14" x14ac:dyDescent="0.3">
      <c r="B55" s="114" t="s">
        <v>44</v>
      </c>
      <c r="C55" s="114" t="s">
        <v>26</v>
      </c>
      <c r="D55" s="114" t="s">
        <v>56</v>
      </c>
      <c r="E55" s="115">
        <v>22.66</v>
      </c>
      <c r="F55" s="116">
        <v>33</v>
      </c>
      <c r="G55" s="117" t="e">
        <f>#REF!/(1-0.25)</f>
        <v>#REF!</v>
      </c>
      <c r="H55" s="114">
        <v>35</v>
      </c>
      <c r="I55" s="118"/>
      <c r="J55" s="118">
        <f t="shared" si="3"/>
        <v>1155</v>
      </c>
      <c r="K55" s="119"/>
      <c r="L55" s="120">
        <f t="shared" si="1"/>
        <v>35</v>
      </c>
      <c r="M55" s="109">
        <f t="shared" si="2"/>
        <v>793.1</v>
      </c>
      <c r="N55" s="42"/>
    </row>
    <row r="56" spans="1:14" x14ac:dyDescent="0.3">
      <c r="B56" s="114" t="s">
        <v>57</v>
      </c>
      <c r="C56" s="114" t="s">
        <v>58</v>
      </c>
      <c r="D56" s="114" t="s">
        <v>59</v>
      </c>
      <c r="E56" s="115">
        <v>63.83</v>
      </c>
      <c r="F56" s="116">
        <v>75</v>
      </c>
      <c r="G56" s="117" t="e">
        <f>#REF!/(1-0.25)</f>
        <v>#REF!</v>
      </c>
      <c r="H56" s="114">
        <v>3</v>
      </c>
      <c r="I56" s="118"/>
      <c r="J56" s="118">
        <f t="shared" si="3"/>
        <v>225</v>
      </c>
      <c r="K56" s="119"/>
      <c r="L56" s="120">
        <f t="shared" si="1"/>
        <v>3</v>
      </c>
      <c r="M56" s="109">
        <f t="shared" si="2"/>
        <v>191.49</v>
      </c>
      <c r="N56" s="42"/>
    </row>
    <row r="57" spans="1:14" x14ac:dyDescent="0.3">
      <c r="B57" s="114" t="s">
        <v>57</v>
      </c>
      <c r="C57" s="114" t="s">
        <v>58</v>
      </c>
      <c r="D57" s="114" t="s">
        <v>60</v>
      </c>
      <c r="E57" s="115">
        <v>63.83</v>
      </c>
      <c r="F57" s="116">
        <v>75</v>
      </c>
      <c r="G57" s="117" t="e">
        <f>#REF!/(1-0.25)</f>
        <v>#REF!</v>
      </c>
      <c r="H57" s="114">
        <v>3</v>
      </c>
      <c r="I57" s="118"/>
      <c r="J57" s="118">
        <f t="shared" si="3"/>
        <v>225</v>
      </c>
      <c r="K57" s="119"/>
      <c r="L57" s="120">
        <f t="shared" si="1"/>
        <v>3</v>
      </c>
      <c r="M57" s="109">
        <f t="shared" si="2"/>
        <v>191.49</v>
      </c>
      <c r="N57" s="42"/>
    </row>
    <row r="58" spans="1:14" x14ac:dyDescent="0.3">
      <c r="A58">
        <f>51.8+2.5+5</f>
        <v>59.3</v>
      </c>
      <c r="B58" s="114" t="s">
        <v>57</v>
      </c>
      <c r="C58" s="114" t="s">
        <v>61</v>
      </c>
      <c r="D58" s="114" t="s">
        <v>62</v>
      </c>
      <c r="E58" s="115">
        <v>68.400000000000006</v>
      </c>
      <c r="F58" s="116">
        <v>75</v>
      </c>
      <c r="G58" s="117" t="e">
        <f>#REF!/(1-0.25)</f>
        <v>#REF!</v>
      </c>
      <c r="H58" s="114">
        <v>3</v>
      </c>
      <c r="I58" s="118"/>
      <c r="J58" s="118">
        <f t="shared" si="3"/>
        <v>225</v>
      </c>
      <c r="K58" s="119"/>
      <c r="L58" s="120">
        <f t="shared" si="1"/>
        <v>3</v>
      </c>
      <c r="M58" s="109">
        <f t="shared" si="2"/>
        <v>205.20000000000002</v>
      </c>
      <c r="N58" s="42"/>
    </row>
    <row r="59" spans="1:14" x14ac:dyDescent="0.3">
      <c r="B59" s="114" t="s">
        <v>57</v>
      </c>
      <c r="C59" s="114" t="s">
        <v>61</v>
      </c>
      <c r="D59" s="114" t="s">
        <v>20</v>
      </c>
      <c r="E59" s="115">
        <v>68.400000000000006</v>
      </c>
      <c r="F59" s="116">
        <v>75</v>
      </c>
      <c r="G59" s="117" t="e">
        <f>#REF!/(1-0.25)</f>
        <v>#REF!</v>
      </c>
      <c r="H59" s="114">
        <v>5</v>
      </c>
      <c r="I59" s="118"/>
      <c r="J59" s="118">
        <f t="shared" si="3"/>
        <v>375</v>
      </c>
      <c r="K59" s="119"/>
      <c r="L59" s="120">
        <f t="shared" si="1"/>
        <v>5</v>
      </c>
      <c r="M59" s="109">
        <f t="shared" si="2"/>
        <v>342</v>
      </c>
      <c r="N59" s="42"/>
    </row>
    <row r="60" spans="1:14" x14ac:dyDescent="0.3">
      <c r="B60" s="114" t="s">
        <v>63</v>
      </c>
      <c r="C60" s="114" t="s">
        <v>64</v>
      </c>
      <c r="D60" s="114" t="s">
        <v>65</v>
      </c>
      <c r="E60" s="115">
        <v>36.799999999999997</v>
      </c>
      <c r="F60" s="116">
        <v>50</v>
      </c>
      <c r="G60" s="117" t="e">
        <f>#REF!/(1-0.25)</f>
        <v>#REF!</v>
      </c>
      <c r="H60" s="114">
        <v>9</v>
      </c>
      <c r="I60" s="118"/>
      <c r="J60" s="118">
        <f t="shared" si="3"/>
        <v>450</v>
      </c>
      <c r="K60" s="119"/>
      <c r="L60" s="120">
        <f t="shared" si="1"/>
        <v>9</v>
      </c>
      <c r="M60" s="109">
        <f t="shared" si="2"/>
        <v>331.2</v>
      </c>
      <c r="N60" s="42"/>
    </row>
    <row r="61" spans="1:14" x14ac:dyDescent="0.3">
      <c r="A61">
        <f>118*6</f>
        <v>708</v>
      </c>
      <c r="B61" s="114" t="s">
        <v>63</v>
      </c>
      <c r="C61" s="114" t="s">
        <v>383</v>
      </c>
      <c r="D61" s="114" t="s">
        <v>65</v>
      </c>
      <c r="E61" s="115">
        <v>88.9</v>
      </c>
      <c r="F61" s="116">
        <v>121</v>
      </c>
      <c r="G61" s="117" t="e">
        <f>#REF!/(1-0.25)</f>
        <v>#REF!</v>
      </c>
      <c r="H61" s="114">
        <v>5</v>
      </c>
      <c r="I61" s="118"/>
      <c r="J61" s="118">
        <f t="shared" si="3"/>
        <v>605</v>
      </c>
      <c r="K61" s="119"/>
      <c r="L61" s="120">
        <f t="shared" si="1"/>
        <v>5</v>
      </c>
      <c r="M61" s="109">
        <f t="shared" si="2"/>
        <v>444.5</v>
      </c>
      <c r="N61" s="42"/>
    </row>
    <row r="62" spans="1:14" x14ac:dyDescent="0.3">
      <c r="A62" t="s">
        <v>293</v>
      </c>
      <c r="B62" s="114" t="s">
        <v>63</v>
      </c>
      <c r="C62" s="114" t="s">
        <v>282</v>
      </c>
      <c r="D62" s="114"/>
      <c r="E62" s="115">
        <v>196.87</v>
      </c>
      <c r="F62" s="116">
        <v>255</v>
      </c>
      <c r="G62" s="117" t="e">
        <f>#REF!/(1-0.25)</f>
        <v>#REF!</v>
      </c>
      <c r="H62" s="114">
        <v>6</v>
      </c>
      <c r="I62" s="118"/>
      <c r="J62" s="118">
        <f t="shared" si="3"/>
        <v>1530</v>
      </c>
      <c r="K62" s="119"/>
      <c r="L62" s="120">
        <f t="shared" si="1"/>
        <v>6</v>
      </c>
      <c r="M62" s="109">
        <f t="shared" si="2"/>
        <v>1181.22</v>
      </c>
      <c r="N62" s="42"/>
    </row>
    <row r="63" spans="1:14" x14ac:dyDescent="0.3">
      <c r="A63" t="s">
        <v>293</v>
      </c>
      <c r="B63" s="114" t="s">
        <v>63</v>
      </c>
      <c r="C63" s="114" t="s">
        <v>283</v>
      </c>
      <c r="D63" s="114"/>
      <c r="E63" s="115">
        <v>101</v>
      </c>
      <c r="F63" s="116">
        <v>142</v>
      </c>
      <c r="G63" s="117" t="e">
        <f>#REF!/(1-0.25)</f>
        <v>#REF!</v>
      </c>
      <c r="H63" s="114">
        <v>4</v>
      </c>
      <c r="I63" s="118"/>
      <c r="J63" s="118">
        <f t="shared" si="3"/>
        <v>568</v>
      </c>
      <c r="K63" s="119"/>
      <c r="L63" s="120">
        <f t="shared" si="1"/>
        <v>4</v>
      </c>
      <c r="M63" s="109">
        <f t="shared" si="2"/>
        <v>404</v>
      </c>
      <c r="N63" s="42"/>
    </row>
    <row r="64" spans="1:14" x14ac:dyDescent="0.3">
      <c r="B64" s="114" t="s">
        <v>63</v>
      </c>
      <c r="C64" s="114" t="s">
        <v>67</v>
      </c>
      <c r="D64" s="114" t="s">
        <v>68</v>
      </c>
      <c r="E64" s="115">
        <v>51.8</v>
      </c>
      <c r="F64" s="116">
        <v>70</v>
      </c>
      <c r="G64" s="117" t="e">
        <f>#REF!/(1-0.25)</f>
        <v>#REF!</v>
      </c>
      <c r="H64" s="114">
        <v>9</v>
      </c>
      <c r="I64" s="118"/>
      <c r="J64" s="118">
        <f t="shared" si="3"/>
        <v>630</v>
      </c>
      <c r="K64" s="119"/>
      <c r="L64" s="120">
        <f t="shared" si="1"/>
        <v>9</v>
      </c>
      <c r="M64" s="109">
        <f t="shared" si="2"/>
        <v>466.2</v>
      </c>
      <c r="N64" s="42"/>
    </row>
    <row r="65" spans="1:14" x14ac:dyDescent="0.3">
      <c r="B65" s="114" t="s">
        <v>63</v>
      </c>
      <c r="C65" s="114" t="s">
        <v>67</v>
      </c>
      <c r="D65" s="114" t="s">
        <v>69</v>
      </c>
      <c r="E65" s="115">
        <v>156.19999999999999</v>
      </c>
      <c r="F65" s="116">
        <v>180</v>
      </c>
      <c r="G65" s="117" t="e">
        <f>#REF!/(1-0.25)</f>
        <v>#REF!</v>
      </c>
      <c r="H65" s="114">
        <v>2</v>
      </c>
      <c r="I65" s="118"/>
      <c r="J65" s="118">
        <f t="shared" si="3"/>
        <v>360</v>
      </c>
      <c r="K65" s="119"/>
      <c r="L65" s="120">
        <f t="shared" si="1"/>
        <v>2</v>
      </c>
      <c r="M65" s="109">
        <f t="shared" si="2"/>
        <v>312.39999999999998</v>
      </c>
      <c r="N65" s="42"/>
    </row>
    <row r="66" spans="1:14" x14ac:dyDescent="0.3">
      <c r="B66" s="114" t="s">
        <v>63</v>
      </c>
      <c r="C66" s="114" t="s">
        <v>70</v>
      </c>
      <c r="D66" s="114"/>
      <c r="E66" s="115">
        <v>40.9</v>
      </c>
      <c r="F66" s="116">
        <v>48</v>
      </c>
      <c r="G66" s="117" t="e">
        <f>#REF!/(1-0.25)</f>
        <v>#REF!</v>
      </c>
      <c r="H66" s="114">
        <v>4</v>
      </c>
      <c r="I66" s="118"/>
      <c r="J66" s="118">
        <f t="shared" si="3"/>
        <v>192</v>
      </c>
      <c r="K66" s="119"/>
      <c r="L66" s="120">
        <f t="shared" si="1"/>
        <v>4</v>
      </c>
      <c r="M66" s="109">
        <f t="shared" si="2"/>
        <v>163.6</v>
      </c>
      <c r="N66" s="42"/>
    </row>
    <row r="67" spans="1:14" x14ac:dyDescent="0.3">
      <c r="B67" s="114" t="s">
        <v>63</v>
      </c>
      <c r="C67" s="114" t="s">
        <v>288</v>
      </c>
      <c r="D67" s="114"/>
      <c r="E67" s="115">
        <v>204.9</v>
      </c>
      <c r="F67" s="116">
        <v>255</v>
      </c>
      <c r="G67" s="117" t="e">
        <f>#REF!/(1-0.25)</f>
        <v>#REF!</v>
      </c>
      <c r="H67" s="114">
        <v>3</v>
      </c>
      <c r="I67" s="118"/>
      <c r="J67" s="118">
        <f t="shared" si="3"/>
        <v>765</v>
      </c>
      <c r="K67" s="119"/>
      <c r="L67" s="120">
        <f t="shared" si="1"/>
        <v>3</v>
      </c>
      <c r="M67" s="109">
        <f t="shared" si="2"/>
        <v>614.70000000000005</v>
      </c>
      <c r="N67" s="42"/>
    </row>
    <row r="68" spans="1:14" x14ac:dyDescent="0.3">
      <c r="B68" s="114" t="s">
        <v>63</v>
      </c>
      <c r="C68" s="114" t="s">
        <v>287</v>
      </c>
      <c r="D68" s="114"/>
      <c r="E68" s="115">
        <v>68</v>
      </c>
      <c r="F68" s="116">
        <v>90</v>
      </c>
      <c r="G68" s="117" t="e">
        <f>#REF!/(1-0.25)</f>
        <v>#REF!</v>
      </c>
      <c r="H68" s="114">
        <v>5</v>
      </c>
      <c r="I68" s="118"/>
      <c r="J68" s="118">
        <f t="shared" si="3"/>
        <v>450</v>
      </c>
      <c r="K68" s="119"/>
      <c r="L68" s="120">
        <f t="shared" si="1"/>
        <v>5</v>
      </c>
      <c r="M68" s="109">
        <f t="shared" si="2"/>
        <v>340</v>
      </c>
      <c r="N68" s="42"/>
    </row>
    <row r="69" spans="1:14" x14ac:dyDescent="0.3">
      <c r="A69">
        <f>24+24+10+1.5+1.5+1.5</f>
        <v>62.5</v>
      </c>
      <c r="B69" s="114" t="s">
        <v>63</v>
      </c>
      <c r="C69" s="114" t="s">
        <v>71</v>
      </c>
      <c r="D69" s="114"/>
      <c r="E69" s="115">
        <v>80.599999999999994</v>
      </c>
      <c r="F69" s="116">
        <v>100</v>
      </c>
      <c r="G69" s="117" t="e">
        <f>#REF!/(1-0.25)</f>
        <v>#REF!</v>
      </c>
      <c r="H69" s="114">
        <v>4</v>
      </c>
      <c r="I69" s="118"/>
      <c r="J69" s="118">
        <f t="shared" si="3"/>
        <v>400</v>
      </c>
      <c r="K69" s="119"/>
      <c r="L69" s="120">
        <f t="shared" si="1"/>
        <v>4</v>
      </c>
      <c r="M69" s="109">
        <f t="shared" ref="M69:M132" si="4">E69*L69</f>
        <v>322.39999999999998</v>
      </c>
      <c r="N69" s="42"/>
    </row>
    <row r="70" spans="1:14" x14ac:dyDescent="0.3">
      <c r="B70" s="114" t="s">
        <v>63</v>
      </c>
      <c r="C70" s="114" t="s">
        <v>72</v>
      </c>
      <c r="D70" s="114"/>
      <c r="E70" s="115">
        <v>88.9</v>
      </c>
      <c r="F70" s="116">
        <v>121</v>
      </c>
      <c r="G70" s="117" t="e">
        <f>#REF!/(1-0.25)</f>
        <v>#REF!</v>
      </c>
      <c r="H70" s="114">
        <v>2</v>
      </c>
      <c r="I70" s="118"/>
      <c r="J70" s="118">
        <f t="shared" ref="J70:J82" si="5">F70*H70</f>
        <v>242</v>
      </c>
      <c r="K70" s="119"/>
      <c r="L70" s="120">
        <f t="shared" ref="L70:L133" si="6">H70-K70</f>
        <v>2</v>
      </c>
      <c r="M70" s="109">
        <f t="shared" si="4"/>
        <v>177.8</v>
      </c>
      <c r="N70" s="42"/>
    </row>
    <row r="71" spans="1:14" x14ac:dyDescent="0.3">
      <c r="B71" s="114" t="s">
        <v>63</v>
      </c>
      <c r="C71" s="114" t="s">
        <v>73</v>
      </c>
      <c r="D71" s="114"/>
      <c r="E71" s="115">
        <v>86</v>
      </c>
      <c r="F71" s="116">
        <v>120</v>
      </c>
      <c r="G71" s="117" t="e">
        <f>#REF!/(1-0.25)</f>
        <v>#REF!</v>
      </c>
      <c r="H71" s="114">
        <v>3</v>
      </c>
      <c r="I71" s="118"/>
      <c r="J71" s="118">
        <f t="shared" si="5"/>
        <v>360</v>
      </c>
      <c r="K71" s="119"/>
      <c r="L71" s="120">
        <f t="shared" si="6"/>
        <v>3</v>
      </c>
      <c r="M71" s="109">
        <f t="shared" si="4"/>
        <v>258</v>
      </c>
      <c r="N71" s="42"/>
    </row>
    <row r="72" spans="1:14" x14ac:dyDescent="0.3">
      <c r="B72" s="114" t="s">
        <v>63</v>
      </c>
      <c r="C72" s="114" t="s">
        <v>74</v>
      </c>
      <c r="D72" s="114"/>
      <c r="E72" s="115">
        <v>20.399999999999999</v>
      </c>
      <c r="F72" s="116">
        <v>30</v>
      </c>
      <c r="G72" s="117" t="e">
        <f>#REF!/(1-0.25)</f>
        <v>#REF!</v>
      </c>
      <c r="H72" s="114">
        <v>11</v>
      </c>
      <c r="I72" s="118"/>
      <c r="J72" s="118">
        <f t="shared" si="5"/>
        <v>330</v>
      </c>
      <c r="K72" s="119"/>
      <c r="L72" s="120">
        <f t="shared" si="6"/>
        <v>11</v>
      </c>
      <c r="M72" s="109">
        <f t="shared" si="4"/>
        <v>224.39999999999998</v>
      </c>
      <c r="N72" s="42"/>
    </row>
    <row r="73" spans="1:14" x14ac:dyDescent="0.3">
      <c r="B73" s="114" t="s">
        <v>63</v>
      </c>
      <c r="C73" s="114" t="s">
        <v>75</v>
      </c>
      <c r="D73" s="114"/>
      <c r="E73" s="115">
        <v>17.899999999999999</v>
      </c>
      <c r="F73" s="116">
        <v>25</v>
      </c>
      <c r="G73" s="117" t="e">
        <f>#REF!/(1-0.25)</f>
        <v>#REF!</v>
      </c>
      <c r="H73" s="114">
        <v>2</v>
      </c>
      <c r="I73" s="118"/>
      <c r="J73" s="118">
        <f t="shared" si="5"/>
        <v>50</v>
      </c>
      <c r="K73" s="119"/>
      <c r="L73" s="120">
        <f t="shared" si="6"/>
        <v>2</v>
      </c>
      <c r="M73" s="109">
        <f t="shared" si="4"/>
        <v>35.799999999999997</v>
      </c>
      <c r="N73" s="42"/>
    </row>
    <row r="74" spans="1:14" x14ac:dyDescent="0.3">
      <c r="B74" s="114" t="s">
        <v>63</v>
      </c>
      <c r="C74" s="114" t="s">
        <v>76</v>
      </c>
      <c r="D74" s="114"/>
      <c r="E74" s="115">
        <v>15.7</v>
      </c>
      <c r="F74" s="116">
        <v>22</v>
      </c>
      <c r="G74" s="117" t="e">
        <f>#REF!/(1-0.25)</f>
        <v>#REF!</v>
      </c>
      <c r="H74" s="114">
        <v>11</v>
      </c>
      <c r="I74" s="118"/>
      <c r="J74" s="118">
        <f t="shared" si="5"/>
        <v>242</v>
      </c>
      <c r="K74" s="119"/>
      <c r="L74" s="120">
        <f t="shared" si="6"/>
        <v>11</v>
      </c>
      <c r="M74" s="109">
        <f t="shared" si="4"/>
        <v>172.7</v>
      </c>
      <c r="N74" s="42"/>
    </row>
    <row r="75" spans="1:14" x14ac:dyDescent="0.3">
      <c r="B75" s="114" t="s">
        <v>63</v>
      </c>
      <c r="C75" s="114" t="s">
        <v>77</v>
      </c>
      <c r="D75" s="114"/>
      <c r="E75" s="115">
        <v>21.3</v>
      </c>
      <c r="F75" s="116">
        <v>30</v>
      </c>
      <c r="G75" s="117" t="e">
        <f>#REF!/(1-0.25)</f>
        <v>#REF!</v>
      </c>
      <c r="H75" s="114">
        <v>12</v>
      </c>
      <c r="I75" s="118"/>
      <c r="J75" s="118">
        <f t="shared" si="5"/>
        <v>360</v>
      </c>
      <c r="K75" s="119"/>
      <c r="L75" s="120">
        <f t="shared" si="6"/>
        <v>12</v>
      </c>
      <c r="M75" s="109">
        <f t="shared" si="4"/>
        <v>255.60000000000002</v>
      </c>
      <c r="N75" s="42"/>
    </row>
    <row r="76" spans="1:14" x14ac:dyDescent="0.3">
      <c r="B76" s="114" t="s">
        <v>63</v>
      </c>
      <c r="C76" s="114" t="s">
        <v>78</v>
      </c>
      <c r="D76" s="114"/>
      <c r="E76" s="121">
        <v>0</v>
      </c>
      <c r="F76" s="116">
        <v>19</v>
      </c>
      <c r="G76" s="117" t="e">
        <f>#REF!/(1-0.25)</f>
        <v>#REF!</v>
      </c>
      <c r="H76" s="114">
        <v>0</v>
      </c>
      <c r="I76" s="118"/>
      <c r="J76" s="118">
        <f t="shared" si="5"/>
        <v>0</v>
      </c>
      <c r="K76" s="119"/>
      <c r="L76" s="120">
        <f t="shared" si="6"/>
        <v>0</v>
      </c>
      <c r="M76" s="109">
        <f t="shared" si="4"/>
        <v>0</v>
      </c>
      <c r="N76" s="42"/>
    </row>
    <row r="77" spans="1:14" x14ac:dyDescent="0.3">
      <c r="B77" s="114" t="s">
        <v>80</v>
      </c>
      <c r="C77" s="114" t="s">
        <v>81</v>
      </c>
      <c r="D77" s="114"/>
      <c r="E77" s="115">
        <v>67.7</v>
      </c>
      <c r="F77" s="116">
        <v>93</v>
      </c>
      <c r="G77" s="117" t="e">
        <f>#REF!/(1-0.25)</f>
        <v>#REF!</v>
      </c>
      <c r="H77" s="114">
        <v>6</v>
      </c>
      <c r="I77" s="118"/>
      <c r="J77" s="118">
        <f t="shared" si="5"/>
        <v>558</v>
      </c>
      <c r="K77" s="119"/>
      <c r="L77" s="120">
        <f t="shared" si="6"/>
        <v>6</v>
      </c>
      <c r="M77" s="109">
        <f t="shared" si="4"/>
        <v>406.20000000000005</v>
      </c>
      <c r="N77" s="42"/>
    </row>
    <row r="78" spans="1:14" x14ac:dyDescent="0.3">
      <c r="B78" s="114" t="s">
        <v>80</v>
      </c>
      <c r="C78" s="114" t="s">
        <v>82</v>
      </c>
      <c r="D78" s="114"/>
      <c r="E78" s="115">
        <v>49.5</v>
      </c>
      <c r="F78" s="116">
        <v>70</v>
      </c>
      <c r="G78" s="117" t="e">
        <f>#REF!/(1-0.25)</f>
        <v>#REF!</v>
      </c>
      <c r="H78" s="114">
        <v>6</v>
      </c>
      <c r="I78" s="118"/>
      <c r="J78" s="118">
        <f t="shared" si="5"/>
        <v>420</v>
      </c>
      <c r="K78" s="119"/>
      <c r="L78" s="120">
        <f t="shared" si="6"/>
        <v>6</v>
      </c>
      <c r="M78" s="109">
        <f t="shared" si="4"/>
        <v>297</v>
      </c>
      <c r="N78" s="42"/>
    </row>
    <row r="79" spans="1:14" x14ac:dyDescent="0.3">
      <c r="B79" s="114" t="s">
        <v>80</v>
      </c>
      <c r="C79" s="114" t="s">
        <v>83</v>
      </c>
      <c r="D79" s="114"/>
      <c r="E79" s="115">
        <v>43</v>
      </c>
      <c r="F79" s="116">
        <v>60</v>
      </c>
      <c r="G79" s="117" t="e">
        <f>#REF!/(1-0.25)</f>
        <v>#REF!</v>
      </c>
      <c r="H79" s="114">
        <v>14</v>
      </c>
      <c r="I79" s="118"/>
      <c r="J79" s="118">
        <f t="shared" si="5"/>
        <v>840</v>
      </c>
      <c r="K79" s="119"/>
      <c r="L79" s="120">
        <f t="shared" si="6"/>
        <v>14</v>
      </c>
      <c r="M79" s="109">
        <f t="shared" si="4"/>
        <v>602</v>
      </c>
      <c r="N79" s="42"/>
    </row>
    <row r="80" spans="1:14" x14ac:dyDescent="0.3">
      <c r="B80" s="114" t="s">
        <v>80</v>
      </c>
      <c r="C80" s="114" t="s">
        <v>84</v>
      </c>
      <c r="D80" s="114"/>
      <c r="E80" s="115">
        <v>35.799999999999997</v>
      </c>
      <c r="F80" s="116">
        <v>46</v>
      </c>
      <c r="G80" s="117" t="e">
        <f>#REF!/(1-0.25)</f>
        <v>#REF!</v>
      </c>
      <c r="H80" s="114">
        <v>5</v>
      </c>
      <c r="I80" s="118"/>
      <c r="J80" s="118">
        <f t="shared" si="5"/>
        <v>230</v>
      </c>
      <c r="K80" s="119"/>
      <c r="L80" s="120">
        <f t="shared" si="6"/>
        <v>5</v>
      </c>
      <c r="M80" s="109">
        <f t="shared" si="4"/>
        <v>179</v>
      </c>
      <c r="N80" s="42"/>
    </row>
    <row r="81" spans="1:14" x14ac:dyDescent="0.3">
      <c r="B81" s="114" t="s">
        <v>80</v>
      </c>
      <c r="C81" s="114" t="s">
        <v>294</v>
      </c>
      <c r="D81" s="114"/>
      <c r="E81" s="115">
        <v>44.3</v>
      </c>
      <c r="F81" s="116">
        <v>60</v>
      </c>
      <c r="G81" s="117" t="e">
        <f>#REF!/(1-0.25)</f>
        <v>#REF!</v>
      </c>
      <c r="H81" s="114">
        <v>2</v>
      </c>
      <c r="I81" s="118"/>
      <c r="J81" s="118">
        <f t="shared" si="5"/>
        <v>120</v>
      </c>
      <c r="K81" s="119"/>
      <c r="L81" s="120">
        <f t="shared" si="6"/>
        <v>2</v>
      </c>
      <c r="M81" s="109">
        <f t="shared" si="4"/>
        <v>88.6</v>
      </c>
      <c r="N81" s="42"/>
    </row>
    <row r="82" spans="1:14" x14ac:dyDescent="0.3">
      <c r="A82">
        <v>606182989</v>
      </c>
      <c r="B82" s="114" t="s">
        <v>239</v>
      </c>
      <c r="C82" s="114" t="s">
        <v>306</v>
      </c>
      <c r="D82" s="114"/>
      <c r="E82" s="114">
        <v>35</v>
      </c>
      <c r="F82" s="116">
        <v>42</v>
      </c>
      <c r="G82" s="117"/>
      <c r="H82" s="114">
        <v>1</v>
      </c>
      <c r="I82" s="118"/>
      <c r="J82" s="118">
        <f t="shared" si="5"/>
        <v>42</v>
      </c>
      <c r="K82" s="119"/>
      <c r="L82" s="120">
        <f t="shared" si="6"/>
        <v>1</v>
      </c>
      <c r="M82" s="109">
        <f t="shared" si="4"/>
        <v>35</v>
      </c>
      <c r="N82" s="42"/>
    </row>
    <row r="83" spans="1:14" x14ac:dyDescent="0.3">
      <c r="B83" s="114" t="s">
        <v>80</v>
      </c>
      <c r="C83" s="114" t="s">
        <v>309</v>
      </c>
      <c r="D83" s="114"/>
      <c r="E83" s="114">
        <v>7.5</v>
      </c>
      <c r="F83" s="116">
        <v>10</v>
      </c>
      <c r="G83" s="117"/>
      <c r="H83" s="114">
        <v>4</v>
      </c>
      <c r="I83" s="118"/>
      <c r="J83" s="118"/>
      <c r="K83" s="119"/>
      <c r="L83" s="120">
        <f t="shared" si="6"/>
        <v>4</v>
      </c>
      <c r="M83" s="109">
        <f t="shared" si="4"/>
        <v>30</v>
      </c>
      <c r="N83" s="42"/>
    </row>
    <row r="84" spans="1:14" x14ac:dyDescent="0.3">
      <c r="B84" s="114" t="s">
        <v>239</v>
      </c>
      <c r="C84" s="114" t="s">
        <v>307</v>
      </c>
      <c r="D84" s="114"/>
      <c r="E84" s="114">
        <v>41</v>
      </c>
      <c r="F84" s="116">
        <v>51</v>
      </c>
      <c r="G84" s="117"/>
      <c r="H84" s="114">
        <v>3</v>
      </c>
      <c r="I84" s="118"/>
      <c r="J84" s="118"/>
      <c r="K84" s="119"/>
      <c r="L84" s="120">
        <f t="shared" si="6"/>
        <v>3</v>
      </c>
      <c r="M84" s="109">
        <f t="shared" si="4"/>
        <v>123</v>
      </c>
      <c r="N84" s="42"/>
    </row>
    <row r="85" spans="1:14" x14ac:dyDescent="0.3">
      <c r="B85" s="114" t="s">
        <v>80</v>
      </c>
      <c r="C85" s="114" t="s">
        <v>85</v>
      </c>
      <c r="D85" s="114"/>
      <c r="E85" s="115">
        <v>39.1</v>
      </c>
      <c r="F85" s="116">
        <v>55</v>
      </c>
      <c r="G85" s="117" t="e">
        <f>#REF!/(1-0.25)</f>
        <v>#REF!</v>
      </c>
      <c r="H85" s="114">
        <v>2</v>
      </c>
      <c r="I85" s="118"/>
      <c r="J85" s="118">
        <f t="shared" ref="J85:J123" si="7">F85*H85</f>
        <v>110</v>
      </c>
      <c r="K85" s="119"/>
      <c r="L85" s="120">
        <f t="shared" si="6"/>
        <v>2</v>
      </c>
      <c r="M85" s="109">
        <f t="shared" si="4"/>
        <v>78.2</v>
      </c>
      <c r="N85" s="42"/>
    </row>
    <row r="86" spans="1:14" x14ac:dyDescent="0.3">
      <c r="B86" s="114" t="s">
        <v>80</v>
      </c>
      <c r="C86" s="114" t="s">
        <v>305</v>
      </c>
      <c r="D86" s="114"/>
      <c r="E86" s="115">
        <v>21</v>
      </c>
      <c r="F86" s="116">
        <v>28</v>
      </c>
      <c r="G86" s="117"/>
      <c r="H86" s="114">
        <v>8</v>
      </c>
      <c r="I86" s="118"/>
      <c r="J86" s="118">
        <f t="shared" si="7"/>
        <v>224</v>
      </c>
      <c r="K86" s="119"/>
      <c r="L86" s="120">
        <f t="shared" si="6"/>
        <v>8</v>
      </c>
      <c r="M86" s="109">
        <f t="shared" si="4"/>
        <v>168</v>
      </c>
      <c r="N86" s="42"/>
    </row>
    <row r="87" spans="1:14" x14ac:dyDescent="0.3">
      <c r="B87" s="114" t="s">
        <v>80</v>
      </c>
      <c r="C87" s="114" t="s">
        <v>86</v>
      </c>
      <c r="D87" s="114"/>
      <c r="E87" s="115">
        <v>21</v>
      </c>
      <c r="F87" s="116">
        <v>28</v>
      </c>
      <c r="G87" s="117" t="e">
        <f>#REF!/(1-0.25)</f>
        <v>#REF!</v>
      </c>
      <c r="H87" s="114">
        <v>17</v>
      </c>
      <c r="I87" s="118"/>
      <c r="J87" s="118">
        <f t="shared" si="7"/>
        <v>476</v>
      </c>
      <c r="K87" s="119"/>
      <c r="L87" s="120">
        <f t="shared" si="6"/>
        <v>17</v>
      </c>
      <c r="M87" s="109">
        <f t="shared" si="4"/>
        <v>357</v>
      </c>
      <c r="N87" s="42"/>
    </row>
    <row r="88" spans="1:14" x14ac:dyDescent="0.3">
      <c r="B88" s="114" t="s">
        <v>80</v>
      </c>
      <c r="C88" s="114" t="s">
        <v>87</v>
      </c>
      <c r="D88" s="114"/>
      <c r="E88" s="121">
        <v>21</v>
      </c>
      <c r="F88" s="116">
        <v>28</v>
      </c>
      <c r="G88" s="117" t="e">
        <f>#REF!/(1-0.25)</f>
        <v>#REF!</v>
      </c>
      <c r="H88" s="114">
        <v>16</v>
      </c>
      <c r="I88" s="118"/>
      <c r="J88" s="118">
        <f t="shared" si="7"/>
        <v>448</v>
      </c>
      <c r="K88" s="119"/>
      <c r="L88" s="120">
        <f t="shared" si="6"/>
        <v>16</v>
      </c>
      <c r="M88" s="109">
        <f t="shared" si="4"/>
        <v>336</v>
      </c>
      <c r="N88" s="42"/>
    </row>
    <row r="89" spans="1:14" x14ac:dyDescent="0.3">
      <c r="B89" s="114" t="s">
        <v>239</v>
      </c>
      <c r="C89" s="114" t="s">
        <v>240</v>
      </c>
      <c r="D89" s="114"/>
      <c r="E89" s="115">
        <v>13</v>
      </c>
      <c r="F89" s="116">
        <v>18</v>
      </c>
      <c r="G89" s="117"/>
      <c r="H89" s="114">
        <v>6</v>
      </c>
      <c r="I89" s="118"/>
      <c r="J89" s="118">
        <f t="shared" si="7"/>
        <v>108</v>
      </c>
      <c r="K89" s="119"/>
      <c r="L89" s="120">
        <f t="shared" si="6"/>
        <v>6</v>
      </c>
      <c r="M89" s="109">
        <f t="shared" si="4"/>
        <v>78</v>
      </c>
      <c r="N89" s="42"/>
    </row>
    <row r="90" spans="1:14" x14ac:dyDescent="0.3">
      <c r="B90" s="114" t="s">
        <v>80</v>
      </c>
      <c r="C90" s="114" t="s">
        <v>88</v>
      </c>
      <c r="D90" s="114"/>
      <c r="E90" s="115">
        <v>7.7</v>
      </c>
      <c r="F90" s="116">
        <v>11.5</v>
      </c>
      <c r="G90" s="117" t="e">
        <f>#REF!/(1-0.25)</f>
        <v>#REF!</v>
      </c>
      <c r="H90" s="114">
        <v>4</v>
      </c>
      <c r="I90" s="118"/>
      <c r="J90" s="118">
        <f t="shared" si="7"/>
        <v>46</v>
      </c>
      <c r="K90" s="119"/>
      <c r="L90" s="120">
        <f t="shared" si="6"/>
        <v>4</v>
      </c>
      <c r="M90" s="109">
        <f t="shared" si="4"/>
        <v>30.8</v>
      </c>
      <c r="N90" s="42"/>
    </row>
    <row r="91" spans="1:14" x14ac:dyDescent="0.3">
      <c r="B91" s="114" t="s">
        <v>80</v>
      </c>
      <c r="C91" s="114" t="s">
        <v>308</v>
      </c>
      <c r="D91" s="114"/>
      <c r="E91" s="115">
        <v>4.76</v>
      </c>
      <c r="F91" s="116">
        <v>6.5</v>
      </c>
      <c r="G91" s="117"/>
      <c r="H91" s="114">
        <v>2</v>
      </c>
      <c r="I91" s="118"/>
      <c r="J91" s="118">
        <f t="shared" si="7"/>
        <v>13</v>
      </c>
      <c r="K91" s="119"/>
      <c r="L91" s="120">
        <f t="shared" si="6"/>
        <v>2</v>
      </c>
      <c r="M91" s="109">
        <f t="shared" si="4"/>
        <v>9.52</v>
      </c>
      <c r="N91" s="42"/>
    </row>
    <row r="92" spans="1:14" x14ac:dyDescent="0.3">
      <c r="B92" s="114" t="s">
        <v>80</v>
      </c>
      <c r="C92" s="114" t="s">
        <v>289</v>
      </c>
      <c r="D92" s="114"/>
      <c r="E92" s="115">
        <v>4.76</v>
      </c>
      <c r="F92" s="116">
        <v>6.5</v>
      </c>
      <c r="G92" s="117" t="e">
        <f>#REF!/(1-0.25)</f>
        <v>#REF!</v>
      </c>
      <c r="H92" s="114">
        <v>4</v>
      </c>
      <c r="I92" s="118"/>
      <c r="J92" s="118">
        <f t="shared" si="7"/>
        <v>26</v>
      </c>
      <c r="K92" s="119"/>
      <c r="L92" s="120">
        <f t="shared" si="6"/>
        <v>4</v>
      </c>
      <c r="M92" s="109">
        <f t="shared" si="4"/>
        <v>19.04</v>
      </c>
      <c r="N92" s="42"/>
    </row>
    <row r="93" spans="1:14" x14ac:dyDescent="0.3">
      <c r="B93" s="114" t="s">
        <v>80</v>
      </c>
      <c r="C93" s="114" t="s">
        <v>349</v>
      </c>
      <c r="D93" s="114"/>
      <c r="E93" s="114">
        <v>7.5</v>
      </c>
      <c r="F93" s="116">
        <v>10</v>
      </c>
      <c r="G93" s="117"/>
      <c r="H93" s="114">
        <v>3</v>
      </c>
      <c r="I93" s="118"/>
      <c r="J93" s="118">
        <f t="shared" si="7"/>
        <v>30</v>
      </c>
      <c r="K93" s="119"/>
      <c r="L93" s="120">
        <f t="shared" si="6"/>
        <v>3</v>
      </c>
      <c r="M93" s="109">
        <f t="shared" si="4"/>
        <v>22.5</v>
      </c>
      <c r="N93" s="42"/>
    </row>
    <row r="94" spans="1:14" x14ac:dyDescent="0.3">
      <c r="B94" s="114" t="s">
        <v>89</v>
      </c>
      <c r="C94" s="114" t="s">
        <v>90</v>
      </c>
      <c r="D94" s="114"/>
      <c r="E94" s="114">
        <v>20.8</v>
      </c>
      <c r="F94" s="116">
        <v>38</v>
      </c>
      <c r="G94" s="117" t="e">
        <f>#REF!/(1-0.25)</f>
        <v>#REF!</v>
      </c>
      <c r="H94" s="114">
        <v>7</v>
      </c>
      <c r="I94" s="118"/>
      <c r="J94" s="118">
        <f t="shared" si="7"/>
        <v>266</v>
      </c>
      <c r="K94" s="119"/>
      <c r="L94" s="120">
        <f t="shared" si="6"/>
        <v>7</v>
      </c>
      <c r="M94" s="109">
        <f t="shared" si="4"/>
        <v>145.6</v>
      </c>
      <c r="N94" s="42"/>
    </row>
    <row r="95" spans="1:14" x14ac:dyDescent="0.3">
      <c r="B95" s="114" t="s">
        <v>89</v>
      </c>
      <c r="C95" s="114" t="s">
        <v>206</v>
      </c>
      <c r="D95" s="114"/>
      <c r="E95" s="114">
        <v>34.17</v>
      </c>
      <c r="F95" s="116">
        <v>45</v>
      </c>
      <c r="G95" s="117" t="e">
        <f>#REF!/(1-0.25)</f>
        <v>#REF!</v>
      </c>
      <c r="H95" s="114">
        <v>2</v>
      </c>
      <c r="I95" s="118"/>
      <c r="J95" s="118">
        <f t="shared" si="7"/>
        <v>90</v>
      </c>
      <c r="K95" s="119"/>
      <c r="L95" s="120">
        <f t="shared" si="6"/>
        <v>2</v>
      </c>
      <c r="M95" s="109">
        <f t="shared" si="4"/>
        <v>68.34</v>
      </c>
      <c r="N95" s="42"/>
    </row>
    <row r="96" spans="1:14" x14ac:dyDescent="0.3">
      <c r="A96">
        <f>45+6.5+6.5</f>
        <v>58</v>
      </c>
      <c r="B96" s="114" t="s">
        <v>89</v>
      </c>
      <c r="C96" s="114" t="s">
        <v>91</v>
      </c>
      <c r="D96" s="114"/>
      <c r="E96" s="114"/>
      <c r="F96" s="116">
        <v>0</v>
      </c>
      <c r="G96" s="117" t="e">
        <f>#REF!/(1-0.25)</f>
        <v>#REF!</v>
      </c>
      <c r="H96" s="114"/>
      <c r="I96" s="118"/>
      <c r="J96" s="118">
        <f t="shared" si="7"/>
        <v>0</v>
      </c>
      <c r="K96" s="119"/>
      <c r="L96" s="120">
        <f t="shared" si="6"/>
        <v>0</v>
      </c>
      <c r="M96" s="109">
        <f t="shared" si="4"/>
        <v>0</v>
      </c>
      <c r="N96" s="42"/>
    </row>
    <row r="97" spans="1:14" x14ac:dyDescent="0.3">
      <c r="B97" s="114" t="s">
        <v>89</v>
      </c>
      <c r="C97" s="114" t="s">
        <v>301</v>
      </c>
      <c r="D97" s="114"/>
      <c r="E97" s="114">
        <v>17.86</v>
      </c>
      <c r="F97" s="116">
        <v>25</v>
      </c>
      <c r="G97" s="117"/>
      <c r="H97" s="114">
        <v>0</v>
      </c>
      <c r="I97" s="118"/>
      <c r="J97" s="118">
        <f t="shared" si="7"/>
        <v>0</v>
      </c>
      <c r="K97" s="119"/>
      <c r="L97" s="120">
        <f t="shared" si="6"/>
        <v>0</v>
      </c>
      <c r="M97" s="109">
        <f t="shared" si="4"/>
        <v>0</v>
      </c>
      <c r="N97" s="42"/>
    </row>
    <row r="98" spans="1:14" x14ac:dyDescent="0.3">
      <c r="B98" s="114" t="s">
        <v>89</v>
      </c>
      <c r="C98" s="114" t="s">
        <v>299</v>
      </c>
      <c r="D98" s="114"/>
      <c r="E98" s="114">
        <v>20</v>
      </c>
      <c r="F98" s="116">
        <v>28</v>
      </c>
      <c r="G98" s="117"/>
      <c r="H98" s="114">
        <v>4</v>
      </c>
      <c r="I98" s="118"/>
      <c r="J98" s="118">
        <f t="shared" si="7"/>
        <v>112</v>
      </c>
      <c r="K98" s="119"/>
      <c r="L98" s="120">
        <f t="shared" si="6"/>
        <v>4</v>
      </c>
      <c r="M98" s="109">
        <f t="shared" si="4"/>
        <v>80</v>
      </c>
      <c r="N98" s="42"/>
    </row>
    <row r="99" spans="1:14" x14ac:dyDescent="0.3">
      <c r="B99" s="114" t="s">
        <v>89</v>
      </c>
      <c r="C99" s="114" t="s">
        <v>300</v>
      </c>
      <c r="D99" s="114"/>
      <c r="E99" s="114">
        <v>17.86</v>
      </c>
      <c r="F99" s="116">
        <v>25</v>
      </c>
      <c r="G99" s="117"/>
      <c r="H99" s="114">
        <v>3</v>
      </c>
      <c r="I99" s="118"/>
      <c r="J99" s="118">
        <f t="shared" si="7"/>
        <v>75</v>
      </c>
      <c r="K99" s="119"/>
      <c r="L99" s="120">
        <f t="shared" si="6"/>
        <v>3</v>
      </c>
      <c r="M99" s="109">
        <f t="shared" si="4"/>
        <v>53.58</v>
      </c>
      <c r="N99" s="42"/>
    </row>
    <row r="100" spans="1:14" x14ac:dyDescent="0.3">
      <c r="B100" s="114" t="s">
        <v>89</v>
      </c>
      <c r="C100" s="114" t="s">
        <v>92</v>
      </c>
      <c r="D100" s="114"/>
      <c r="E100" s="115">
        <v>40.9</v>
      </c>
      <c r="F100" s="116">
        <v>54</v>
      </c>
      <c r="G100" s="117" t="e">
        <f>#REF!/(1-0.25)</f>
        <v>#REF!</v>
      </c>
      <c r="H100" s="114">
        <v>2</v>
      </c>
      <c r="I100" s="118"/>
      <c r="J100" s="118">
        <f t="shared" si="7"/>
        <v>108</v>
      </c>
      <c r="K100" s="119"/>
      <c r="L100" s="120">
        <f t="shared" si="6"/>
        <v>2</v>
      </c>
      <c r="M100" s="109">
        <f t="shared" si="4"/>
        <v>81.8</v>
      </c>
      <c r="N100" s="42"/>
    </row>
    <row r="101" spans="1:14" x14ac:dyDescent="0.3">
      <c r="A101">
        <f>50-9-1.5</f>
        <v>39.5</v>
      </c>
      <c r="B101" s="114" t="s">
        <v>89</v>
      </c>
      <c r="C101" s="114" t="s">
        <v>93</v>
      </c>
      <c r="D101" s="114"/>
      <c r="E101" s="115">
        <v>40.9</v>
      </c>
      <c r="F101" s="116">
        <v>54</v>
      </c>
      <c r="G101" s="117" t="e">
        <f>#REF!/(1-0.25)</f>
        <v>#REF!</v>
      </c>
      <c r="H101" s="114">
        <v>3</v>
      </c>
      <c r="I101" s="118"/>
      <c r="J101" s="118">
        <f t="shared" si="7"/>
        <v>162</v>
      </c>
      <c r="K101" s="119"/>
      <c r="L101" s="120">
        <f t="shared" si="6"/>
        <v>3</v>
      </c>
      <c r="M101" s="109">
        <f t="shared" si="4"/>
        <v>122.69999999999999</v>
      </c>
      <c r="N101" s="42"/>
    </row>
    <row r="102" spans="1:14" x14ac:dyDescent="0.3">
      <c r="A102">
        <f>39.5+3.3</f>
        <v>42.8</v>
      </c>
      <c r="B102" s="114" t="s">
        <v>89</v>
      </c>
      <c r="C102" s="114" t="s">
        <v>94</v>
      </c>
      <c r="D102" s="114"/>
      <c r="E102" s="115">
        <v>40.9</v>
      </c>
      <c r="F102" s="116">
        <v>54</v>
      </c>
      <c r="G102" s="117" t="e">
        <f>#REF!/(1-0.25)</f>
        <v>#REF!</v>
      </c>
      <c r="H102" s="114">
        <v>3</v>
      </c>
      <c r="I102" s="118"/>
      <c r="J102" s="118">
        <f t="shared" si="7"/>
        <v>162</v>
      </c>
      <c r="K102" s="119"/>
      <c r="L102" s="120">
        <f t="shared" si="6"/>
        <v>3</v>
      </c>
      <c r="M102" s="109">
        <f t="shared" si="4"/>
        <v>122.69999999999999</v>
      </c>
      <c r="N102" s="42"/>
    </row>
    <row r="103" spans="1:14" x14ac:dyDescent="0.3">
      <c r="B103" s="114" t="s">
        <v>89</v>
      </c>
      <c r="C103" s="114" t="s">
        <v>95</v>
      </c>
      <c r="D103" s="114"/>
      <c r="E103" s="115">
        <v>40.9</v>
      </c>
      <c r="F103" s="116">
        <v>54</v>
      </c>
      <c r="G103" s="117" t="e">
        <f>#REF!/(1-0.25)</f>
        <v>#REF!</v>
      </c>
      <c r="H103" s="114">
        <v>3</v>
      </c>
      <c r="I103" s="118"/>
      <c r="J103" s="118">
        <f t="shared" si="7"/>
        <v>162</v>
      </c>
      <c r="K103" s="119"/>
      <c r="L103" s="120">
        <f t="shared" si="6"/>
        <v>3</v>
      </c>
      <c r="M103" s="109">
        <f t="shared" si="4"/>
        <v>122.69999999999999</v>
      </c>
      <c r="N103" s="42"/>
    </row>
    <row r="104" spans="1:14" x14ac:dyDescent="0.3">
      <c r="B104" s="114" t="s">
        <v>89</v>
      </c>
      <c r="C104" s="114" t="s">
        <v>96</v>
      </c>
      <c r="D104" s="114"/>
      <c r="E104" s="115">
        <v>40.9</v>
      </c>
      <c r="F104" s="116">
        <v>54</v>
      </c>
      <c r="G104" s="117" t="e">
        <f>#REF!/(1-0.25)</f>
        <v>#REF!</v>
      </c>
      <c r="H104" s="114">
        <v>3</v>
      </c>
      <c r="I104" s="118"/>
      <c r="J104" s="118">
        <f t="shared" si="7"/>
        <v>162</v>
      </c>
      <c r="K104" s="119"/>
      <c r="L104" s="120">
        <f t="shared" si="6"/>
        <v>3</v>
      </c>
      <c r="M104" s="109">
        <f t="shared" si="4"/>
        <v>122.69999999999999</v>
      </c>
      <c r="N104" s="42"/>
    </row>
    <row r="105" spans="1:14" x14ac:dyDescent="0.3">
      <c r="B105" s="114" t="s">
        <v>89</v>
      </c>
      <c r="C105" s="114" t="s">
        <v>97</v>
      </c>
      <c r="D105" s="114"/>
      <c r="E105" s="115">
        <v>33.4</v>
      </c>
      <c r="F105" s="116">
        <v>49</v>
      </c>
      <c r="G105" s="117" t="e">
        <f>#REF!/(1-0.25)</f>
        <v>#REF!</v>
      </c>
      <c r="H105" s="114">
        <v>2</v>
      </c>
      <c r="I105" s="118"/>
      <c r="J105" s="118">
        <f t="shared" si="7"/>
        <v>98</v>
      </c>
      <c r="K105" s="119"/>
      <c r="L105" s="120">
        <f t="shared" si="6"/>
        <v>2</v>
      </c>
      <c r="M105" s="109">
        <f t="shared" si="4"/>
        <v>66.8</v>
      </c>
      <c r="N105" s="42"/>
    </row>
    <row r="106" spans="1:14" x14ac:dyDescent="0.3">
      <c r="B106" s="114" t="s">
        <v>89</v>
      </c>
      <c r="C106" s="114" t="s">
        <v>98</v>
      </c>
      <c r="D106" s="114"/>
      <c r="E106" s="115">
        <v>33.4</v>
      </c>
      <c r="F106" s="116">
        <v>49</v>
      </c>
      <c r="G106" s="117" t="e">
        <f>#REF!/(1-0.25)</f>
        <v>#REF!</v>
      </c>
      <c r="H106" s="114">
        <v>2</v>
      </c>
      <c r="I106" s="118"/>
      <c r="J106" s="118">
        <f t="shared" si="7"/>
        <v>98</v>
      </c>
      <c r="K106" s="119"/>
      <c r="L106" s="120">
        <f t="shared" si="6"/>
        <v>2</v>
      </c>
      <c r="M106" s="109">
        <f t="shared" si="4"/>
        <v>66.8</v>
      </c>
      <c r="N106" s="42"/>
    </row>
    <row r="107" spans="1:14" x14ac:dyDescent="0.3">
      <c r="B107" s="114" t="s">
        <v>89</v>
      </c>
      <c r="C107" s="114" t="s">
        <v>99</v>
      </c>
      <c r="D107" s="114"/>
      <c r="E107" s="115">
        <v>33.4</v>
      </c>
      <c r="F107" s="116">
        <v>49</v>
      </c>
      <c r="G107" s="117" t="e">
        <f>#REF!/(1-0.25)</f>
        <v>#REF!</v>
      </c>
      <c r="H107" s="114">
        <v>2</v>
      </c>
      <c r="I107" s="118"/>
      <c r="J107" s="118">
        <f t="shared" si="7"/>
        <v>98</v>
      </c>
      <c r="K107" s="119"/>
      <c r="L107" s="120">
        <f t="shared" si="6"/>
        <v>2</v>
      </c>
      <c r="M107" s="109">
        <f t="shared" si="4"/>
        <v>66.8</v>
      </c>
      <c r="N107" s="42"/>
    </row>
    <row r="108" spans="1:14" x14ac:dyDescent="0.3">
      <c r="B108" s="114" t="s">
        <v>100</v>
      </c>
      <c r="C108" s="114" t="s">
        <v>101</v>
      </c>
      <c r="D108" s="114"/>
      <c r="E108" s="114">
        <v>62.8</v>
      </c>
      <c r="F108" s="116">
        <v>90</v>
      </c>
      <c r="G108" s="117" t="e">
        <f>#REF!/(1-0.25)</f>
        <v>#REF!</v>
      </c>
      <c r="H108" s="114">
        <v>1</v>
      </c>
      <c r="I108" s="118"/>
      <c r="J108" s="118">
        <f t="shared" si="7"/>
        <v>90</v>
      </c>
      <c r="K108" s="119"/>
      <c r="L108" s="120">
        <f t="shared" si="6"/>
        <v>1</v>
      </c>
      <c r="M108" s="109">
        <f t="shared" si="4"/>
        <v>62.8</v>
      </c>
      <c r="N108" s="42"/>
    </row>
    <row r="109" spans="1:14" x14ac:dyDescent="0.3">
      <c r="B109" s="114" t="s">
        <v>100</v>
      </c>
      <c r="C109" s="114" t="s">
        <v>102</v>
      </c>
      <c r="D109" s="114"/>
      <c r="E109" s="114">
        <v>80.900000000000006</v>
      </c>
      <c r="F109" s="116">
        <v>100</v>
      </c>
      <c r="G109" s="117" t="e">
        <f>#REF!/(1-0.25)</f>
        <v>#REF!</v>
      </c>
      <c r="H109" s="114">
        <v>1</v>
      </c>
      <c r="I109" s="118"/>
      <c r="J109" s="118">
        <f t="shared" si="7"/>
        <v>100</v>
      </c>
      <c r="K109" s="119"/>
      <c r="L109" s="120">
        <f t="shared" si="6"/>
        <v>1</v>
      </c>
      <c r="M109" s="109">
        <f t="shared" si="4"/>
        <v>80.900000000000006</v>
      </c>
      <c r="N109" s="42"/>
    </row>
    <row r="110" spans="1:14" x14ac:dyDescent="0.3">
      <c r="B110" s="114" t="s">
        <v>100</v>
      </c>
      <c r="C110" s="114" t="s">
        <v>393</v>
      </c>
      <c r="D110" s="114"/>
      <c r="E110" s="114">
        <v>6.5</v>
      </c>
      <c r="F110" s="116">
        <v>9</v>
      </c>
      <c r="G110" s="117" t="e">
        <f>#REF!/(1-0.25)</f>
        <v>#REF!</v>
      </c>
      <c r="H110" s="114">
        <v>7</v>
      </c>
      <c r="I110" s="118"/>
      <c r="J110" s="118">
        <f t="shared" si="7"/>
        <v>63</v>
      </c>
      <c r="K110" s="119"/>
      <c r="L110" s="120">
        <f t="shared" si="6"/>
        <v>7</v>
      </c>
      <c r="M110" s="109">
        <f t="shared" si="4"/>
        <v>45.5</v>
      </c>
      <c r="N110" s="42"/>
    </row>
    <row r="111" spans="1:14" x14ac:dyDescent="0.3">
      <c r="B111" s="114" t="s">
        <v>104</v>
      </c>
      <c r="C111" s="114" t="s">
        <v>105</v>
      </c>
      <c r="D111" s="114"/>
      <c r="E111" s="114">
        <v>30.6</v>
      </c>
      <c r="F111" s="116">
        <v>44</v>
      </c>
      <c r="G111" s="117" t="e">
        <f>#REF!/(1-0.25)</f>
        <v>#REF!</v>
      </c>
      <c r="H111" s="114">
        <v>2</v>
      </c>
      <c r="I111" s="118"/>
      <c r="J111" s="118">
        <f t="shared" si="7"/>
        <v>88</v>
      </c>
      <c r="K111" s="119"/>
      <c r="L111" s="120">
        <f t="shared" si="6"/>
        <v>2</v>
      </c>
      <c r="M111" s="109">
        <f t="shared" si="4"/>
        <v>61.2</v>
      </c>
      <c r="N111" s="42"/>
    </row>
    <row r="112" spans="1:14" x14ac:dyDescent="0.3">
      <c r="B112" s="114" t="s">
        <v>104</v>
      </c>
      <c r="C112" s="114" t="s">
        <v>106</v>
      </c>
      <c r="D112" s="114"/>
      <c r="E112" s="114">
        <v>26.99</v>
      </c>
      <c r="F112" s="116">
        <v>39</v>
      </c>
      <c r="G112" s="117" t="e">
        <f>#REF!/(1-0.25)</f>
        <v>#REF!</v>
      </c>
      <c r="H112" s="114">
        <v>2</v>
      </c>
      <c r="I112" s="118"/>
      <c r="J112" s="118">
        <f t="shared" si="7"/>
        <v>78</v>
      </c>
      <c r="K112" s="119"/>
      <c r="L112" s="120">
        <f t="shared" si="6"/>
        <v>2</v>
      </c>
      <c r="M112" s="109">
        <f t="shared" si="4"/>
        <v>53.98</v>
      </c>
      <c r="N112" s="42"/>
    </row>
    <row r="113" spans="2:14" x14ac:dyDescent="0.3">
      <c r="B113" s="114" t="s">
        <v>104</v>
      </c>
      <c r="C113" s="114" t="s">
        <v>107</v>
      </c>
      <c r="D113" s="114"/>
      <c r="E113" s="114">
        <v>26.99</v>
      </c>
      <c r="F113" s="116">
        <v>39</v>
      </c>
      <c r="G113" s="117" t="e">
        <f>#REF!/(1-0.25)</f>
        <v>#REF!</v>
      </c>
      <c r="H113" s="114">
        <v>1</v>
      </c>
      <c r="I113" s="118"/>
      <c r="J113" s="118">
        <f t="shared" si="7"/>
        <v>39</v>
      </c>
      <c r="K113" s="119"/>
      <c r="L113" s="120">
        <f t="shared" si="6"/>
        <v>1</v>
      </c>
      <c r="M113" s="109">
        <f t="shared" si="4"/>
        <v>26.99</v>
      </c>
      <c r="N113" s="42"/>
    </row>
    <row r="114" spans="2:14" x14ac:dyDescent="0.3">
      <c r="B114" s="114" t="s">
        <v>108</v>
      </c>
      <c r="C114" s="114" t="s">
        <v>109</v>
      </c>
      <c r="D114" s="114"/>
      <c r="E114" s="114">
        <v>11</v>
      </c>
      <c r="F114" s="116">
        <v>17</v>
      </c>
      <c r="G114" s="117" t="e">
        <f>#REF!/(1-0.25)</f>
        <v>#REF!</v>
      </c>
      <c r="H114" s="114">
        <v>1</v>
      </c>
      <c r="I114" s="118"/>
      <c r="J114" s="118">
        <f t="shared" si="7"/>
        <v>17</v>
      </c>
      <c r="K114" s="119"/>
      <c r="L114" s="120">
        <f t="shared" si="6"/>
        <v>1</v>
      </c>
      <c r="M114" s="109">
        <f t="shared" si="4"/>
        <v>11</v>
      </c>
      <c r="N114" s="42"/>
    </row>
    <row r="115" spans="2:14" x14ac:dyDescent="0.3">
      <c r="B115" s="114" t="s">
        <v>108</v>
      </c>
      <c r="C115" s="114" t="s">
        <v>110</v>
      </c>
      <c r="D115" s="114"/>
      <c r="E115" s="114">
        <v>10.8</v>
      </c>
      <c r="F115" s="116">
        <v>16</v>
      </c>
      <c r="G115" s="117" t="e">
        <f>#REF!/(1-0.25)</f>
        <v>#REF!</v>
      </c>
      <c r="H115" s="114">
        <v>10</v>
      </c>
      <c r="I115" s="118"/>
      <c r="J115" s="118">
        <f t="shared" si="7"/>
        <v>160</v>
      </c>
      <c r="K115" s="119"/>
      <c r="L115" s="120">
        <f t="shared" si="6"/>
        <v>10</v>
      </c>
      <c r="M115" s="109">
        <f t="shared" si="4"/>
        <v>108</v>
      </c>
      <c r="N115" s="42"/>
    </row>
    <row r="116" spans="2:14" x14ac:dyDescent="0.3">
      <c r="B116" s="114" t="s">
        <v>111</v>
      </c>
      <c r="C116" s="114" t="s">
        <v>112</v>
      </c>
      <c r="D116" s="114"/>
      <c r="E116" s="114">
        <v>19.989999999999998</v>
      </c>
      <c r="F116" s="116">
        <v>29</v>
      </c>
      <c r="G116" s="117" t="e">
        <f>#REF!/(1-0.25)</f>
        <v>#REF!</v>
      </c>
      <c r="H116" s="114">
        <v>3</v>
      </c>
      <c r="I116" s="118"/>
      <c r="J116" s="118">
        <f t="shared" si="7"/>
        <v>87</v>
      </c>
      <c r="K116" s="119"/>
      <c r="L116" s="120">
        <f t="shared" si="6"/>
        <v>3</v>
      </c>
      <c r="M116" s="109">
        <f t="shared" si="4"/>
        <v>59.97</v>
      </c>
      <c r="N116" s="42"/>
    </row>
    <row r="117" spans="2:14" x14ac:dyDescent="0.3">
      <c r="B117" s="114" t="s">
        <v>111</v>
      </c>
      <c r="C117" s="114" t="s">
        <v>113</v>
      </c>
      <c r="D117" s="114"/>
      <c r="E117" s="114">
        <v>19.989999999999998</v>
      </c>
      <c r="F117" s="116">
        <v>29</v>
      </c>
      <c r="G117" s="117" t="e">
        <f>#REF!/(1-0.25)</f>
        <v>#REF!</v>
      </c>
      <c r="H117" s="114">
        <v>0</v>
      </c>
      <c r="I117" s="118"/>
      <c r="J117" s="118">
        <f t="shared" si="7"/>
        <v>0</v>
      </c>
      <c r="K117" s="119"/>
      <c r="L117" s="120">
        <f t="shared" si="6"/>
        <v>0</v>
      </c>
      <c r="M117" s="109">
        <f t="shared" si="4"/>
        <v>0</v>
      </c>
      <c r="N117" s="42"/>
    </row>
    <row r="118" spans="2:14" x14ac:dyDescent="0.3">
      <c r="B118" s="114" t="s">
        <v>114</v>
      </c>
      <c r="C118" s="114" t="s">
        <v>115</v>
      </c>
      <c r="D118" s="114"/>
      <c r="E118" s="122"/>
      <c r="F118" s="116"/>
      <c r="G118" s="117" t="e">
        <f>#REF!/(1-0.25)</f>
        <v>#REF!</v>
      </c>
      <c r="H118" s="114">
        <v>0</v>
      </c>
      <c r="I118" s="118"/>
      <c r="J118" s="118">
        <f t="shared" si="7"/>
        <v>0</v>
      </c>
      <c r="K118" s="119"/>
      <c r="L118" s="120">
        <f t="shared" si="6"/>
        <v>0</v>
      </c>
      <c r="M118" s="109">
        <f t="shared" si="4"/>
        <v>0</v>
      </c>
      <c r="N118" s="42"/>
    </row>
    <row r="119" spans="2:14" x14ac:dyDescent="0.3">
      <c r="B119" s="114" t="s">
        <v>117</v>
      </c>
      <c r="C119" s="114" t="s">
        <v>118</v>
      </c>
      <c r="D119" s="114"/>
      <c r="E119" s="115">
        <v>56.3</v>
      </c>
      <c r="F119" s="116">
        <v>80</v>
      </c>
      <c r="G119" s="117" t="e">
        <f>#REF!/(1-0.25)</f>
        <v>#REF!</v>
      </c>
      <c r="H119" s="114">
        <v>7</v>
      </c>
      <c r="I119" s="118"/>
      <c r="J119" s="118">
        <f t="shared" si="7"/>
        <v>560</v>
      </c>
      <c r="K119" s="119"/>
      <c r="L119" s="120">
        <f t="shared" si="6"/>
        <v>7</v>
      </c>
      <c r="M119" s="109">
        <f t="shared" si="4"/>
        <v>394.09999999999997</v>
      </c>
      <c r="N119" s="42"/>
    </row>
    <row r="120" spans="2:14" x14ac:dyDescent="0.3">
      <c r="B120" s="114" t="s">
        <v>117</v>
      </c>
      <c r="C120" s="114" t="s">
        <v>394</v>
      </c>
      <c r="D120" s="114"/>
      <c r="E120" s="115">
        <v>13.5</v>
      </c>
      <c r="F120" s="116">
        <v>19</v>
      </c>
      <c r="G120" s="117" t="e">
        <f>#REF!/(1-0.25)</f>
        <v>#REF!</v>
      </c>
      <c r="H120" s="114">
        <v>4</v>
      </c>
      <c r="I120" s="118"/>
      <c r="J120" s="118">
        <f t="shared" si="7"/>
        <v>76</v>
      </c>
      <c r="K120" s="119"/>
      <c r="L120" s="120">
        <f t="shared" si="6"/>
        <v>4</v>
      </c>
      <c r="M120" s="109">
        <f t="shared" si="4"/>
        <v>54</v>
      </c>
      <c r="N120" s="42"/>
    </row>
    <row r="121" spans="2:14" x14ac:dyDescent="0.3">
      <c r="B121" s="114" t="s">
        <v>117</v>
      </c>
      <c r="C121" s="114" t="s">
        <v>395</v>
      </c>
      <c r="D121" s="114"/>
      <c r="E121" s="115">
        <v>5.3</v>
      </c>
      <c r="F121" s="116">
        <v>8</v>
      </c>
      <c r="G121" s="117" t="e">
        <f>#REF!/(1-0.25)</f>
        <v>#REF!</v>
      </c>
      <c r="H121" s="114">
        <v>4</v>
      </c>
      <c r="I121" s="118"/>
      <c r="J121" s="118">
        <f t="shared" si="7"/>
        <v>32</v>
      </c>
      <c r="K121" s="119"/>
      <c r="L121" s="120">
        <f t="shared" si="6"/>
        <v>4</v>
      </c>
      <c r="M121" s="109">
        <f t="shared" si="4"/>
        <v>21.2</v>
      </c>
      <c r="N121" s="42"/>
    </row>
    <row r="122" spans="2:14" x14ac:dyDescent="0.3">
      <c r="B122" s="114" t="s">
        <v>117</v>
      </c>
      <c r="C122" s="114" t="s">
        <v>396</v>
      </c>
      <c r="D122" s="114"/>
      <c r="E122" s="115">
        <v>20.8</v>
      </c>
      <c r="F122" s="116">
        <v>36</v>
      </c>
      <c r="G122" s="117"/>
      <c r="H122" s="114">
        <v>2</v>
      </c>
      <c r="I122" s="118"/>
      <c r="J122" s="118">
        <f t="shared" si="7"/>
        <v>72</v>
      </c>
      <c r="K122" s="119"/>
      <c r="L122" s="120">
        <f t="shared" si="6"/>
        <v>2</v>
      </c>
      <c r="M122" s="109">
        <f t="shared" si="4"/>
        <v>41.6</v>
      </c>
      <c r="N122" s="42"/>
    </row>
    <row r="123" spans="2:14" x14ac:dyDescent="0.3">
      <c r="B123" s="114" t="s">
        <v>117</v>
      </c>
      <c r="C123" s="114" t="s">
        <v>397</v>
      </c>
      <c r="D123" s="114"/>
      <c r="E123" s="115">
        <v>30</v>
      </c>
      <c r="F123" s="116">
        <v>42</v>
      </c>
      <c r="G123" s="117"/>
      <c r="H123" s="114">
        <v>2</v>
      </c>
      <c r="I123" s="118"/>
      <c r="J123" s="118">
        <f t="shared" si="7"/>
        <v>84</v>
      </c>
      <c r="K123" s="119"/>
      <c r="L123" s="120">
        <f t="shared" si="6"/>
        <v>2</v>
      </c>
      <c r="M123" s="109">
        <f t="shared" si="4"/>
        <v>60</v>
      </c>
      <c r="N123" s="42"/>
    </row>
    <row r="124" spans="2:14" x14ac:dyDescent="0.3">
      <c r="B124" s="114" t="s">
        <v>121</v>
      </c>
      <c r="C124" s="114" t="s">
        <v>122</v>
      </c>
      <c r="D124" s="114"/>
      <c r="E124" s="115">
        <v>4.92</v>
      </c>
      <c r="F124" s="116">
        <v>6.5</v>
      </c>
      <c r="G124" s="116">
        <v>6.5</v>
      </c>
      <c r="H124" s="114">
        <v>8</v>
      </c>
      <c r="I124" s="118"/>
      <c r="J124" s="118">
        <f t="shared" ref="J124:J129" si="8">F124*H124</f>
        <v>52</v>
      </c>
      <c r="K124" s="119"/>
      <c r="L124" s="120">
        <f t="shared" si="6"/>
        <v>8</v>
      </c>
      <c r="M124" s="109">
        <f t="shared" si="4"/>
        <v>39.36</v>
      </c>
      <c r="N124" s="42"/>
    </row>
    <row r="125" spans="2:14" x14ac:dyDescent="0.3">
      <c r="B125" s="114" t="s">
        <v>121</v>
      </c>
      <c r="C125" s="114" t="s">
        <v>123</v>
      </c>
      <c r="D125" s="114"/>
      <c r="E125" s="115">
        <v>4.92</v>
      </c>
      <c r="F125" s="116">
        <v>6.5</v>
      </c>
      <c r="G125" s="117" t="e">
        <f>#REF!/(1-0.25)</f>
        <v>#REF!</v>
      </c>
      <c r="H125" s="114">
        <v>4</v>
      </c>
      <c r="I125" s="118"/>
      <c r="J125" s="118">
        <f t="shared" si="8"/>
        <v>26</v>
      </c>
      <c r="K125" s="119"/>
      <c r="L125" s="120">
        <f t="shared" si="6"/>
        <v>4</v>
      </c>
      <c r="M125" s="109">
        <f t="shared" si="4"/>
        <v>19.68</v>
      </c>
      <c r="N125" s="42"/>
    </row>
    <row r="126" spans="2:14" x14ac:dyDescent="0.3">
      <c r="B126" s="114" t="s">
        <v>121</v>
      </c>
      <c r="C126" s="114" t="s">
        <v>124</v>
      </c>
      <c r="D126" s="114"/>
      <c r="E126" s="115">
        <v>4.92</v>
      </c>
      <c r="F126" s="116">
        <v>6.5</v>
      </c>
      <c r="G126" s="117" t="e">
        <f>#REF!/(1-0.25)</f>
        <v>#REF!</v>
      </c>
      <c r="H126" s="114">
        <v>4</v>
      </c>
      <c r="I126" s="118"/>
      <c r="J126" s="118">
        <f t="shared" si="8"/>
        <v>26</v>
      </c>
      <c r="K126" s="119"/>
      <c r="L126" s="120">
        <f t="shared" si="6"/>
        <v>4</v>
      </c>
      <c r="M126" s="109">
        <f t="shared" si="4"/>
        <v>19.68</v>
      </c>
      <c r="N126" s="42"/>
    </row>
    <row r="127" spans="2:14" x14ac:dyDescent="0.3">
      <c r="B127" s="114" t="s">
        <v>121</v>
      </c>
      <c r="C127" s="114" t="s">
        <v>125</v>
      </c>
      <c r="D127" s="114"/>
      <c r="E127" s="115">
        <v>4.92</v>
      </c>
      <c r="F127" s="116">
        <v>6.5</v>
      </c>
      <c r="G127" s="117" t="e">
        <f>#REF!/(1-0.25)</f>
        <v>#REF!</v>
      </c>
      <c r="H127" s="114">
        <v>7</v>
      </c>
      <c r="I127" s="118"/>
      <c r="J127" s="118">
        <f t="shared" si="8"/>
        <v>45.5</v>
      </c>
      <c r="K127" s="119"/>
      <c r="L127" s="120">
        <f t="shared" si="6"/>
        <v>7</v>
      </c>
      <c r="M127" s="109">
        <f t="shared" si="4"/>
        <v>34.44</v>
      </c>
      <c r="N127" s="42"/>
    </row>
    <row r="128" spans="2:14" x14ac:dyDescent="0.3">
      <c r="B128" s="114" t="s">
        <v>121</v>
      </c>
      <c r="C128" s="114" t="s">
        <v>126</v>
      </c>
      <c r="D128" s="114"/>
      <c r="E128" s="115">
        <v>4.92</v>
      </c>
      <c r="F128" s="116">
        <v>6.5</v>
      </c>
      <c r="G128" s="117" t="e">
        <f>#REF!/(1-0.25)</f>
        <v>#REF!</v>
      </c>
      <c r="H128" s="114">
        <v>7</v>
      </c>
      <c r="I128" s="118"/>
      <c r="J128" s="118">
        <f t="shared" si="8"/>
        <v>45.5</v>
      </c>
      <c r="K128" s="119"/>
      <c r="L128" s="120">
        <f t="shared" si="6"/>
        <v>7</v>
      </c>
      <c r="M128" s="109">
        <f t="shared" si="4"/>
        <v>34.44</v>
      </c>
      <c r="N128" s="42"/>
    </row>
    <row r="129" spans="1:14" x14ac:dyDescent="0.3">
      <c r="B129" s="114" t="s">
        <v>121</v>
      </c>
      <c r="C129" s="114" t="s">
        <v>127</v>
      </c>
      <c r="D129" s="114"/>
      <c r="E129" s="115">
        <v>4.92</v>
      </c>
      <c r="F129" s="116">
        <v>6.5</v>
      </c>
      <c r="G129" s="117" t="e">
        <f>#REF!/(1-0.25)</f>
        <v>#REF!</v>
      </c>
      <c r="H129" s="114">
        <v>6</v>
      </c>
      <c r="I129" s="118"/>
      <c r="J129" s="118">
        <f t="shared" si="8"/>
        <v>39</v>
      </c>
      <c r="K129" s="119"/>
      <c r="L129" s="120">
        <f t="shared" si="6"/>
        <v>6</v>
      </c>
      <c r="M129" s="109">
        <f t="shared" si="4"/>
        <v>29.52</v>
      </c>
      <c r="N129" s="43"/>
    </row>
    <row r="130" spans="1:14" x14ac:dyDescent="0.3">
      <c r="B130" s="114" t="s">
        <v>121</v>
      </c>
      <c r="C130" s="114" t="s">
        <v>247</v>
      </c>
      <c r="D130" s="114"/>
      <c r="E130" s="115">
        <v>4.21</v>
      </c>
      <c r="F130" s="116">
        <v>6.5</v>
      </c>
      <c r="G130" s="117" t="e">
        <f>#REF!/(1-0.25)</f>
        <v>#REF!</v>
      </c>
      <c r="H130" s="114">
        <v>6</v>
      </c>
      <c r="I130" s="118"/>
      <c r="J130" s="118"/>
      <c r="K130" s="119"/>
      <c r="L130" s="120">
        <f t="shared" si="6"/>
        <v>6</v>
      </c>
      <c r="M130" s="109">
        <f t="shared" si="4"/>
        <v>25.259999999999998</v>
      </c>
      <c r="N130" s="43"/>
    </row>
    <row r="131" spans="1:14" x14ac:dyDescent="0.3">
      <c r="B131" s="114" t="s">
        <v>121</v>
      </c>
      <c r="C131" s="114" t="s">
        <v>248</v>
      </c>
      <c r="D131" s="114"/>
      <c r="E131" s="115">
        <v>4.21</v>
      </c>
      <c r="F131" s="116">
        <v>6.5</v>
      </c>
      <c r="G131" s="117" t="e">
        <f>#REF!/(1-0.25)</f>
        <v>#REF!</v>
      </c>
      <c r="H131" s="114">
        <v>3</v>
      </c>
      <c r="I131" s="118"/>
      <c r="J131" s="118"/>
      <c r="K131" s="119"/>
      <c r="L131" s="120">
        <f t="shared" si="6"/>
        <v>3</v>
      </c>
      <c r="M131" s="109">
        <f t="shared" si="4"/>
        <v>12.629999999999999</v>
      </c>
      <c r="N131" s="43"/>
    </row>
    <row r="132" spans="1:14" x14ac:dyDescent="0.3">
      <c r="B132" s="114" t="s">
        <v>121</v>
      </c>
      <c r="C132" s="114" t="s">
        <v>249</v>
      </c>
      <c r="D132" s="114"/>
      <c r="E132" s="115">
        <v>4.21</v>
      </c>
      <c r="F132" s="116">
        <v>6.5</v>
      </c>
      <c r="G132" s="117" t="e">
        <f>#REF!/(1-0.25)</f>
        <v>#REF!</v>
      </c>
      <c r="H132" s="114">
        <v>0</v>
      </c>
      <c r="I132" s="118"/>
      <c r="J132" s="118"/>
      <c r="K132" s="119"/>
      <c r="L132" s="120">
        <f t="shared" si="6"/>
        <v>0</v>
      </c>
      <c r="M132" s="109">
        <f t="shared" si="4"/>
        <v>0</v>
      </c>
      <c r="N132" s="43"/>
    </row>
    <row r="133" spans="1:14" x14ac:dyDescent="0.3">
      <c r="B133" s="114" t="s">
        <v>121</v>
      </c>
      <c r="C133" s="114" t="s">
        <v>250</v>
      </c>
      <c r="D133" s="114"/>
      <c r="E133" s="115">
        <v>4.21</v>
      </c>
      <c r="F133" s="116">
        <v>6.5</v>
      </c>
      <c r="G133" s="117" t="e">
        <f>#REF!/(1-0.25)</f>
        <v>#REF!</v>
      </c>
      <c r="H133" s="114">
        <v>2</v>
      </c>
      <c r="I133" s="118"/>
      <c r="J133" s="118"/>
      <c r="K133" s="119"/>
      <c r="L133" s="120">
        <f t="shared" si="6"/>
        <v>2</v>
      </c>
      <c r="M133" s="109">
        <f t="shared" ref="M133:M196" si="9">E133*L133</f>
        <v>8.42</v>
      </c>
      <c r="N133" s="43"/>
    </row>
    <row r="134" spans="1:14" x14ac:dyDescent="0.3">
      <c r="B134" s="114" t="s">
        <v>253</v>
      </c>
      <c r="C134" s="114" t="s">
        <v>378</v>
      </c>
      <c r="D134" s="114"/>
      <c r="E134" s="115">
        <v>7.25</v>
      </c>
      <c r="F134" s="123">
        <v>10</v>
      </c>
      <c r="G134" s="117" t="e">
        <f>#REF!/(1-0.25)</f>
        <v>#REF!</v>
      </c>
      <c r="H134" s="114">
        <v>8</v>
      </c>
      <c r="I134" s="118"/>
      <c r="J134" s="118"/>
      <c r="K134" s="119"/>
      <c r="L134" s="120">
        <f t="shared" ref="L134:L197" si="10">H134-K134</f>
        <v>8</v>
      </c>
      <c r="M134" s="109">
        <f t="shared" si="9"/>
        <v>58</v>
      </c>
      <c r="N134" s="43"/>
    </row>
    <row r="135" spans="1:14" x14ac:dyDescent="0.3">
      <c r="B135" s="114" t="s">
        <v>253</v>
      </c>
      <c r="C135" s="114" t="s">
        <v>379</v>
      </c>
      <c r="D135" s="114"/>
      <c r="E135" s="115">
        <v>7.25</v>
      </c>
      <c r="F135" s="123">
        <v>10</v>
      </c>
      <c r="G135" s="117"/>
      <c r="H135" s="114">
        <v>8</v>
      </c>
      <c r="I135" s="118"/>
      <c r="J135" s="118"/>
      <c r="K135" s="119"/>
      <c r="L135" s="120">
        <f t="shared" si="10"/>
        <v>8</v>
      </c>
      <c r="M135" s="109">
        <f t="shared" si="9"/>
        <v>58</v>
      </c>
      <c r="N135" s="43"/>
    </row>
    <row r="136" spans="1:14" x14ac:dyDescent="0.3">
      <c r="B136" s="114" t="s">
        <v>368</v>
      </c>
      <c r="C136" s="114" t="s">
        <v>369</v>
      </c>
      <c r="D136" s="114"/>
      <c r="E136" s="114">
        <v>5</v>
      </c>
      <c r="F136" s="123">
        <v>6</v>
      </c>
      <c r="G136" s="117"/>
      <c r="H136" s="114">
        <v>8</v>
      </c>
      <c r="I136" s="118"/>
      <c r="J136" s="118"/>
      <c r="K136" s="119"/>
      <c r="L136" s="120">
        <f t="shared" si="10"/>
        <v>8</v>
      </c>
      <c r="M136" s="109">
        <f t="shared" si="9"/>
        <v>40</v>
      </c>
      <c r="N136" s="43"/>
    </row>
    <row r="137" spans="1:14" x14ac:dyDescent="0.3">
      <c r="B137" s="114" t="s">
        <v>368</v>
      </c>
      <c r="C137" s="114" t="s">
        <v>370</v>
      </c>
      <c r="D137" s="114"/>
      <c r="E137" s="114">
        <v>5</v>
      </c>
      <c r="F137" s="123">
        <v>6</v>
      </c>
      <c r="G137" s="117"/>
      <c r="H137" s="114">
        <v>8</v>
      </c>
      <c r="I137" s="118"/>
      <c r="J137" s="118"/>
      <c r="K137" s="119"/>
      <c r="L137" s="120">
        <f t="shared" si="10"/>
        <v>8</v>
      </c>
      <c r="M137" s="109">
        <f t="shared" si="9"/>
        <v>40</v>
      </c>
      <c r="N137" s="43"/>
    </row>
    <row r="138" spans="1:14" x14ac:dyDescent="0.3">
      <c r="B138" s="114" t="s">
        <v>368</v>
      </c>
      <c r="C138" s="114" t="s">
        <v>371</v>
      </c>
      <c r="D138" s="114"/>
      <c r="E138" s="114">
        <v>5</v>
      </c>
      <c r="F138" s="123">
        <v>6</v>
      </c>
      <c r="G138" s="117"/>
      <c r="H138" s="114">
        <v>8</v>
      </c>
      <c r="I138" s="118"/>
      <c r="J138" s="118"/>
      <c r="K138" s="119"/>
      <c r="L138" s="120">
        <f t="shared" si="10"/>
        <v>8</v>
      </c>
      <c r="M138" s="109">
        <f t="shared" si="9"/>
        <v>40</v>
      </c>
      <c r="N138" s="43"/>
    </row>
    <row r="139" spans="1:14" x14ac:dyDescent="0.3">
      <c r="B139" s="114" t="s">
        <v>128</v>
      </c>
      <c r="C139" s="114" t="s">
        <v>129</v>
      </c>
      <c r="D139" s="114"/>
      <c r="E139" s="114">
        <v>11.3</v>
      </c>
      <c r="F139" s="116">
        <v>16</v>
      </c>
      <c r="G139" s="117" t="e">
        <f>#REF!/(1-0.25)</f>
        <v>#REF!</v>
      </c>
      <c r="H139" s="114">
        <v>9</v>
      </c>
      <c r="I139" s="118"/>
      <c r="J139" s="118">
        <f>F139*H139</f>
        <v>144</v>
      </c>
      <c r="K139" s="119"/>
      <c r="L139" s="120">
        <f t="shared" si="10"/>
        <v>9</v>
      </c>
      <c r="M139" s="109">
        <f t="shared" si="9"/>
        <v>101.7</v>
      </c>
      <c r="N139" s="42"/>
    </row>
    <row r="140" spans="1:14" x14ac:dyDescent="0.3">
      <c r="B140" s="114" t="s">
        <v>130</v>
      </c>
      <c r="C140" s="114" t="s">
        <v>131</v>
      </c>
      <c r="D140" s="114"/>
      <c r="E140" s="114">
        <v>6.15</v>
      </c>
      <c r="F140" s="123">
        <v>8.5</v>
      </c>
      <c r="G140" s="117" t="e">
        <f>#REF!/(1-0.25)</f>
        <v>#REF!</v>
      </c>
      <c r="H140" s="114">
        <v>72</v>
      </c>
      <c r="I140" s="118"/>
      <c r="J140" s="118">
        <f>F140*H140</f>
        <v>612</v>
      </c>
      <c r="K140" s="119"/>
      <c r="L140" s="120">
        <f t="shared" si="10"/>
        <v>72</v>
      </c>
      <c r="M140" s="109">
        <f t="shared" si="9"/>
        <v>442.8</v>
      </c>
      <c r="N140" s="42"/>
    </row>
    <row r="141" spans="1:14" x14ac:dyDescent="0.3">
      <c r="B141" s="114" t="s">
        <v>130</v>
      </c>
      <c r="C141" s="114" t="s">
        <v>132</v>
      </c>
      <c r="D141" s="114"/>
      <c r="E141" s="114">
        <v>0</v>
      </c>
      <c r="F141" s="116"/>
      <c r="G141" s="117" t="e">
        <f>#REF!/(1-0.25)</f>
        <v>#REF!</v>
      </c>
      <c r="H141" s="114">
        <v>0</v>
      </c>
      <c r="I141" s="118"/>
      <c r="J141" s="118"/>
      <c r="K141" s="119"/>
      <c r="L141" s="120">
        <f t="shared" si="10"/>
        <v>0</v>
      </c>
      <c r="M141" s="109">
        <f t="shared" si="9"/>
        <v>0</v>
      </c>
      <c r="N141" s="42"/>
    </row>
    <row r="142" spans="1:14" x14ac:dyDescent="0.3">
      <c r="B142" s="114" t="s">
        <v>133</v>
      </c>
      <c r="C142" s="114" t="s">
        <v>313</v>
      </c>
      <c r="D142" s="114"/>
      <c r="E142" s="114">
        <v>11.3</v>
      </c>
      <c r="F142" s="116">
        <v>16</v>
      </c>
      <c r="G142" s="117" t="e">
        <f>#REF!/(1-0.25)</f>
        <v>#REF!</v>
      </c>
      <c r="H142" s="114">
        <v>6</v>
      </c>
      <c r="I142" s="118"/>
      <c r="J142" s="118">
        <f>F142*H142</f>
        <v>96</v>
      </c>
      <c r="K142" s="119"/>
      <c r="L142" s="120">
        <f>H142-K142</f>
        <v>6</v>
      </c>
      <c r="M142" s="109">
        <f t="shared" si="9"/>
        <v>67.800000000000011</v>
      </c>
      <c r="N142" s="42"/>
    </row>
    <row r="143" spans="1:14" ht="19.5" thickBot="1" x14ac:dyDescent="0.35">
      <c r="B143" s="124" t="s">
        <v>133</v>
      </c>
      <c r="C143" s="124" t="s">
        <v>314</v>
      </c>
      <c r="D143" s="124"/>
      <c r="E143" s="124">
        <v>11.3</v>
      </c>
      <c r="F143" s="125">
        <v>16</v>
      </c>
      <c r="G143" s="126" t="e">
        <f>#REF!/(1-0.25)</f>
        <v>#REF!</v>
      </c>
      <c r="H143" s="124">
        <v>5</v>
      </c>
      <c r="I143" s="127"/>
      <c r="J143" s="127">
        <f>F143*H143</f>
        <v>80</v>
      </c>
      <c r="K143" s="128"/>
      <c r="L143" s="120">
        <f t="shared" si="10"/>
        <v>5</v>
      </c>
      <c r="M143" s="109">
        <f t="shared" si="9"/>
        <v>56.5</v>
      </c>
      <c r="N143" s="42"/>
    </row>
    <row r="144" spans="1:14" x14ac:dyDescent="0.25">
      <c r="A144" s="198" t="s">
        <v>226</v>
      </c>
      <c r="B144" s="129" t="s">
        <v>166</v>
      </c>
      <c r="C144" s="130" t="s">
        <v>141</v>
      </c>
      <c r="D144" s="130"/>
      <c r="E144" s="131">
        <v>21.47</v>
      </c>
      <c r="F144" s="132">
        <v>24</v>
      </c>
      <c r="G144" s="133" t="e">
        <f>#REF!/(1-0.25)</f>
        <v>#REF!</v>
      </c>
      <c r="H144" s="130">
        <v>0</v>
      </c>
      <c r="I144" s="134"/>
      <c r="J144" s="134"/>
      <c r="K144" s="135"/>
      <c r="L144" s="120">
        <f t="shared" si="10"/>
        <v>0</v>
      </c>
      <c r="M144" s="109">
        <f t="shared" si="9"/>
        <v>0</v>
      </c>
      <c r="N144" s="42"/>
    </row>
    <row r="145" spans="1:14" x14ac:dyDescent="0.25">
      <c r="A145" s="199"/>
      <c r="B145" s="136" t="s">
        <v>167</v>
      </c>
      <c r="C145" s="137" t="s">
        <v>142</v>
      </c>
      <c r="D145" s="114"/>
      <c r="E145" s="115">
        <v>2.4500000000000002</v>
      </c>
      <c r="F145" s="138">
        <v>3</v>
      </c>
      <c r="G145" s="117" t="e">
        <f>#REF!/(1-0.25)</f>
        <v>#REF!</v>
      </c>
      <c r="H145" s="114">
        <v>1</v>
      </c>
      <c r="I145" s="118"/>
      <c r="J145" s="118"/>
      <c r="K145" s="119"/>
      <c r="L145" s="120">
        <f t="shared" si="10"/>
        <v>1</v>
      </c>
      <c r="M145" s="109">
        <f t="shared" si="9"/>
        <v>2.4500000000000002</v>
      </c>
      <c r="N145" s="42"/>
    </row>
    <row r="146" spans="1:14" x14ac:dyDescent="0.25">
      <c r="A146" s="199"/>
      <c r="B146" s="136" t="s">
        <v>167</v>
      </c>
      <c r="C146" s="114" t="s">
        <v>145</v>
      </c>
      <c r="D146" s="114"/>
      <c r="E146" s="115">
        <v>4.05</v>
      </c>
      <c r="F146" s="138">
        <v>5</v>
      </c>
      <c r="G146" s="117" t="e">
        <f>#REF!/(1-0.25)</f>
        <v>#REF!</v>
      </c>
      <c r="H146" s="114">
        <v>0</v>
      </c>
      <c r="I146" s="118"/>
      <c r="J146" s="118"/>
      <c r="K146" s="119"/>
      <c r="L146" s="120">
        <f t="shared" si="10"/>
        <v>0</v>
      </c>
      <c r="M146" s="109">
        <f t="shared" si="9"/>
        <v>0</v>
      </c>
      <c r="N146" s="42"/>
    </row>
    <row r="147" spans="1:14" x14ac:dyDescent="0.25">
      <c r="A147" s="199"/>
      <c r="B147" s="136" t="s">
        <v>130</v>
      </c>
      <c r="C147" s="139" t="s">
        <v>146</v>
      </c>
      <c r="D147" s="114"/>
      <c r="E147" s="115">
        <v>1.63</v>
      </c>
      <c r="F147" s="138">
        <v>2.5</v>
      </c>
      <c r="G147" s="117" t="e">
        <f>#REF!/(1-0.25)</f>
        <v>#REF!</v>
      </c>
      <c r="H147" s="114">
        <v>54</v>
      </c>
      <c r="I147" s="118"/>
      <c r="J147" s="118"/>
      <c r="K147" s="119"/>
      <c r="L147" s="120">
        <f t="shared" si="10"/>
        <v>54</v>
      </c>
      <c r="M147" s="109">
        <f t="shared" si="9"/>
        <v>88.02</v>
      </c>
      <c r="N147" s="42"/>
    </row>
    <row r="148" spans="1:14" x14ac:dyDescent="0.25">
      <c r="A148" s="199"/>
      <c r="B148" s="136" t="s">
        <v>168</v>
      </c>
      <c r="C148" s="114" t="s">
        <v>350</v>
      </c>
      <c r="D148" s="114"/>
      <c r="E148" s="115">
        <v>1.25</v>
      </c>
      <c r="F148" s="138">
        <v>1.5</v>
      </c>
      <c r="G148" s="117"/>
      <c r="H148" s="114">
        <v>32</v>
      </c>
      <c r="I148" s="118"/>
      <c r="J148" s="118"/>
      <c r="K148" s="119">
        <v>1</v>
      </c>
      <c r="L148" s="120">
        <f t="shared" si="10"/>
        <v>31</v>
      </c>
      <c r="M148" s="109">
        <f t="shared" si="9"/>
        <v>38.75</v>
      </c>
      <c r="N148" s="42"/>
    </row>
    <row r="149" spans="1:14" x14ac:dyDescent="0.25">
      <c r="A149" s="199"/>
      <c r="B149" s="136" t="s">
        <v>168</v>
      </c>
      <c r="C149" s="114" t="s">
        <v>322</v>
      </c>
      <c r="D149" s="114"/>
      <c r="E149" s="115">
        <v>1.05</v>
      </c>
      <c r="F149" s="138">
        <v>1.2</v>
      </c>
      <c r="G149" s="117" t="e">
        <f>#REF!/(1-0.25)</f>
        <v>#REF!</v>
      </c>
      <c r="H149" s="114">
        <v>43</v>
      </c>
      <c r="I149" s="118"/>
      <c r="J149" s="118"/>
      <c r="K149" s="119"/>
      <c r="L149" s="120">
        <f t="shared" si="10"/>
        <v>43</v>
      </c>
      <c r="M149" s="109">
        <f t="shared" si="9"/>
        <v>45.15</v>
      </c>
      <c r="N149" s="42"/>
    </row>
    <row r="150" spans="1:14" x14ac:dyDescent="0.25">
      <c r="A150" s="199"/>
      <c r="B150" s="136" t="s">
        <v>168</v>
      </c>
      <c r="C150" s="114" t="s">
        <v>323</v>
      </c>
      <c r="D150" s="114"/>
      <c r="E150" s="115">
        <v>1.05</v>
      </c>
      <c r="F150" s="138">
        <v>1.2</v>
      </c>
      <c r="G150" s="117" t="e">
        <f>#REF!/(1-0.25)</f>
        <v>#REF!</v>
      </c>
      <c r="H150" s="114">
        <v>16</v>
      </c>
      <c r="I150" s="118"/>
      <c r="J150" s="118"/>
      <c r="K150" s="119"/>
      <c r="L150" s="120">
        <f t="shared" si="10"/>
        <v>16</v>
      </c>
      <c r="M150" s="109">
        <f t="shared" si="9"/>
        <v>16.8</v>
      </c>
      <c r="N150" s="42"/>
    </row>
    <row r="151" spans="1:14" x14ac:dyDescent="0.25">
      <c r="A151" s="199"/>
      <c r="B151" s="136" t="s">
        <v>168</v>
      </c>
      <c r="C151" s="114" t="s">
        <v>230</v>
      </c>
      <c r="D151" s="114"/>
      <c r="E151" s="115"/>
      <c r="F151" s="138">
        <v>4</v>
      </c>
      <c r="G151" s="117" t="e">
        <f>#REF!/(1-0.25)</f>
        <v>#REF!</v>
      </c>
      <c r="H151" s="114">
        <v>0</v>
      </c>
      <c r="I151" s="118"/>
      <c r="J151" s="118"/>
      <c r="K151" s="119"/>
      <c r="L151" s="120">
        <f t="shared" si="10"/>
        <v>0</v>
      </c>
      <c r="M151" s="109">
        <f t="shared" si="9"/>
        <v>0</v>
      </c>
      <c r="N151" s="42"/>
    </row>
    <row r="152" spans="1:14" x14ac:dyDescent="0.25">
      <c r="A152" s="199"/>
      <c r="B152" s="136" t="s">
        <v>130</v>
      </c>
      <c r="C152" s="139" t="s">
        <v>148</v>
      </c>
      <c r="D152" s="114"/>
      <c r="E152" s="115">
        <v>1.63</v>
      </c>
      <c r="F152" s="138">
        <v>2</v>
      </c>
      <c r="G152" s="117" t="e">
        <f>#REF!/(1-0.25)</f>
        <v>#REF!</v>
      </c>
      <c r="H152" s="114">
        <v>63</v>
      </c>
      <c r="I152" s="118"/>
      <c r="J152" s="118"/>
      <c r="K152" s="119">
        <v>1</v>
      </c>
      <c r="L152" s="120">
        <f t="shared" si="10"/>
        <v>62</v>
      </c>
      <c r="M152" s="109">
        <f t="shared" si="9"/>
        <v>101.05999999999999</v>
      </c>
      <c r="N152" s="42"/>
    </row>
    <row r="153" spans="1:14" x14ac:dyDescent="0.25">
      <c r="A153" s="199"/>
      <c r="B153" s="136" t="s">
        <v>130</v>
      </c>
      <c r="C153" s="114" t="s">
        <v>149</v>
      </c>
      <c r="D153" s="114"/>
      <c r="E153" s="115">
        <v>1.63</v>
      </c>
      <c r="F153" s="138"/>
      <c r="G153" s="117" t="e">
        <f>#REF!/(1-0.25)</f>
        <v>#REF!</v>
      </c>
      <c r="H153" s="114">
        <v>0</v>
      </c>
      <c r="I153" s="118"/>
      <c r="J153" s="118"/>
      <c r="K153" s="119"/>
      <c r="L153" s="120">
        <f t="shared" si="10"/>
        <v>0</v>
      </c>
      <c r="M153" s="109">
        <f t="shared" si="9"/>
        <v>0</v>
      </c>
      <c r="N153" s="42"/>
    </row>
    <row r="154" spans="1:14" x14ac:dyDescent="0.25">
      <c r="A154" s="199"/>
      <c r="B154" s="136" t="s">
        <v>242</v>
      </c>
      <c r="C154" s="114" t="s">
        <v>243</v>
      </c>
      <c r="D154" s="114"/>
      <c r="E154" s="115">
        <v>0</v>
      </c>
      <c r="F154" s="138">
        <v>6</v>
      </c>
      <c r="G154" s="117" t="e">
        <f>#REF!/(1-0.25)</f>
        <v>#REF!</v>
      </c>
      <c r="H154" s="114">
        <v>0</v>
      </c>
      <c r="I154" s="118"/>
      <c r="J154" s="118"/>
      <c r="K154" s="119"/>
      <c r="L154" s="120">
        <f t="shared" si="10"/>
        <v>0</v>
      </c>
      <c r="M154" s="109">
        <f t="shared" si="9"/>
        <v>0</v>
      </c>
      <c r="N154" s="42"/>
    </row>
    <row r="155" spans="1:14" x14ac:dyDescent="0.25">
      <c r="A155" s="199"/>
      <c r="B155" s="136" t="s">
        <v>242</v>
      </c>
      <c r="C155" s="114" t="s">
        <v>345</v>
      </c>
      <c r="D155" s="114"/>
      <c r="E155" s="115">
        <v>2.38</v>
      </c>
      <c r="F155" s="138">
        <v>4</v>
      </c>
      <c r="G155" s="117"/>
      <c r="H155" s="114">
        <v>5</v>
      </c>
      <c r="I155" s="118"/>
      <c r="J155" s="118"/>
      <c r="K155" s="119"/>
      <c r="L155" s="120">
        <f t="shared" si="10"/>
        <v>5</v>
      </c>
      <c r="M155" s="109">
        <f t="shared" si="9"/>
        <v>11.899999999999999</v>
      </c>
      <c r="N155" s="42"/>
    </row>
    <row r="156" spans="1:14" ht="19.5" thickBot="1" x14ac:dyDescent="0.3">
      <c r="A156" s="199"/>
      <c r="B156" s="136" t="s">
        <v>166</v>
      </c>
      <c r="C156" s="114" t="s">
        <v>325</v>
      </c>
      <c r="D156" s="114"/>
      <c r="E156" s="140">
        <v>0.68</v>
      </c>
      <c r="F156" s="138">
        <v>1</v>
      </c>
      <c r="G156" s="117"/>
      <c r="H156" s="114">
        <v>48</v>
      </c>
      <c r="I156" s="118"/>
      <c r="J156" s="118"/>
      <c r="K156" s="119"/>
      <c r="L156" s="120">
        <f t="shared" si="10"/>
        <v>48</v>
      </c>
      <c r="M156" s="109">
        <f t="shared" si="9"/>
        <v>32.64</v>
      </c>
      <c r="N156" s="42"/>
    </row>
    <row r="157" spans="1:14" x14ac:dyDescent="0.25">
      <c r="A157" s="199"/>
      <c r="B157" s="136" t="s">
        <v>166</v>
      </c>
      <c r="C157" s="137" t="s">
        <v>150</v>
      </c>
      <c r="D157" s="114"/>
      <c r="E157" s="114">
        <v>0.77</v>
      </c>
      <c r="F157" s="138">
        <v>1.2</v>
      </c>
      <c r="G157" s="117" t="e">
        <f>#REF!/(1-0.25)</f>
        <v>#REF!</v>
      </c>
      <c r="H157" s="114">
        <v>148</v>
      </c>
      <c r="I157" s="118"/>
      <c r="J157" s="118"/>
      <c r="K157" s="119"/>
      <c r="L157" s="120">
        <f t="shared" si="10"/>
        <v>148</v>
      </c>
      <c r="M157" s="109">
        <f t="shared" si="9"/>
        <v>113.96000000000001</v>
      </c>
      <c r="N157" s="42"/>
    </row>
    <row r="158" spans="1:14" ht="19.5" thickBot="1" x14ac:dyDescent="0.3">
      <c r="A158" s="200"/>
      <c r="B158" s="141" t="s">
        <v>166</v>
      </c>
      <c r="C158" s="124" t="s">
        <v>151</v>
      </c>
      <c r="D158" s="124"/>
      <c r="E158" s="124">
        <v>6.86</v>
      </c>
      <c r="F158" s="142">
        <v>9</v>
      </c>
      <c r="G158" s="126" t="e">
        <f>#REF!/(1-0.25)</f>
        <v>#REF!</v>
      </c>
      <c r="H158" s="124">
        <v>3</v>
      </c>
      <c r="I158" s="127"/>
      <c r="J158" s="127"/>
      <c r="K158" s="128"/>
      <c r="L158" s="120">
        <f t="shared" si="10"/>
        <v>3</v>
      </c>
      <c r="M158" s="109">
        <f t="shared" si="9"/>
        <v>20.580000000000002</v>
      </c>
      <c r="N158" s="42"/>
    </row>
    <row r="159" spans="1:14" x14ac:dyDescent="0.25">
      <c r="A159" s="195" t="s">
        <v>225</v>
      </c>
      <c r="B159" s="143" t="s">
        <v>196</v>
      </c>
      <c r="C159" s="144" t="s">
        <v>197</v>
      </c>
      <c r="D159" s="145"/>
      <c r="E159" s="121">
        <v>7.25</v>
      </c>
      <c r="F159" s="146">
        <v>9</v>
      </c>
      <c r="G159" s="147" t="e">
        <f>#REF!/(1-0.25)</f>
        <v>#REF!</v>
      </c>
      <c r="H159" s="145">
        <v>9</v>
      </c>
      <c r="I159" s="148"/>
      <c r="J159" s="148"/>
      <c r="K159" s="149"/>
      <c r="L159" s="120">
        <f t="shared" si="10"/>
        <v>9</v>
      </c>
      <c r="M159" s="109">
        <f t="shared" si="9"/>
        <v>65.25</v>
      </c>
      <c r="N159" s="42"/>
    </row>
    <row r="160" spans="1:14" x14ac:dyDescent="0.25">
      <c r="A160" s="196"/>
      <c r="B160" s="150" t="s">
        <v>196</v>
      </c>
      <c r="C160" s="114" t="s">
        <v>200</v>
      </c>
      <c r="D160" s="151"/>
      <c r="E160" s="152">
        <v>3.75</v>
      </c>
      <c r="F160" s="153">
        <v>5.5</v>
      </c>
      <c r="G160" s="154" t="e">
        <f>#REF!/(1-0.25)</f>
        <v>#REF!</v>
      </c>
      <c r="H160" s="151">
        <v>10</v>
      </c>
      <c r="I160" s="155"/>
      <c r="J160" s="155"/>
      <c r="K160" s="156"/>
      <c r="L160" s="120">
        <f t="shared" si="10"/>
        <v>10</v>
      </c>
      <c r="M160" s="109">
        <f t="shared" si="9"/>
        <v>37.5</v>
      </c>
      <c r="N160" s="42"/>
    </row>
    <row r="161" spans="1:14" x14ac:dyDescent="0.25">
      <c r="A161" s="196"/>
      <c r="B161" s="150" t="s">
        <v>196</v>
      </c>
      <c r="C161" s="114" t="s">
        <v>202</v>
      </c>
      <c r="D161" s="151"/>
      <c r="E161" s="152"/>
      <c r="F161" s="153"/>
      <c r="G161" s="147" t="e">
        <f>#REF!/(1-0.25)</f>
        <v>#REF!</v>
      </c>
      <c r="H161" s="151"/>
      <c r="I161" s="155"/>
      <c r="J161" s="155"/>
      <c r="K161" s="156"/>
      <c r="L161" s="120">
        <f t="shared" si="10"/>
        <v>0</v>
      </c>
      <c r="M161" s="109">
        <f t="shared" si="9"/>
        <v>0</v>
      </c>
      <c r="N161" s="42"/>
    </row>
    <row r="162" spans="1:14" x14ac:dyDescent="0.25">
      <c r="A162" s="196"/>
      <c r="B162" s="150" t="s">
        <v>196</v>
      </c>
      <c r="C162" s="144" t="s">
        <v>201</v>
      </c>
      <c r="D162" s="151"/>
      <c r="E162" s="152">
        <v>1.66</v>
      </c>
      <c r="F162" s="153">
        <v>2</v>
      </c>
      <c r="G162" s="154" t="e">
        <f>#REF!/(1-0.25)</f>
        <v>#REF!</v>
      </c>
      <c r="H162" s="151">
        <v>16</v>
      </c>
      <c r="I162" s="155"/>
      <c r="J162" s="155"/>
      <c r="K162" s="156">
        <v>1</v>
      </c>
      <c r="L162" s="120">
        <f t="shared" si="10"/>
        <v>15</v>
      </c>
      <c r="M162" s="109">
        <f t="shared" si="9"/>
        <v>24.9</v>
      </c>
      <c r="N162" s="42"/>
    </row>
    <row r="163" spans="1:14" x14ac:dyDescent="0.25">
      <c r="A163" s="196"/>
      <c r="B163" s="150" t="s">
        <v>196</v>
      </c>
      <c r="C163" s="151" t="s">
        <v>198</v>
      </c>
      <c r="D163" s="151"/>
      <c r="E163" s="152">
        <v>6.87</v>
      </c>
      <c r="F163" s="153">
        <v>8.5</v>
      </c>
      <c r="G163" s="147" t="e">
        <f>#REF!/(1-0.25)</f>
        <v>#REF!</v>
      </c>
      <c r="H163" s="151">
        <v>0</v>
      </c>
      <c r="I163" s="155"/>
      <c r="J163" s="155"/>
      <c r="K163" s="156"/>
      <c r="L163" s="120">
        <f t="shared" si="10"/>
        <v>0</v>
      </c>
      <c r="M163" s="109">
        <f t="shared" si="9"/>
        <v>0</v>
      </c>
      <c r="N163" s="42"/>
    </row>
    <row r="164" spans="1:14" x14ac:dyDescent="0.25">
      <c r="A164" s="196"/>
      <c r="B164" s="136" t="s">
        <v>196</v>
      </c>
      <c r="C164" s="137" t="s">
        <v>199</v>
      </c>
      <c r="D164" s="114"/>
      <c r="E164" s="152">
        <v>5</v>
      </c>
      <c r="F164" s="138">
        <v>7</v>
      </c>
      <c r="G164" s="154" t="e">
        <f>#REF!/(1-0.25)</f>
        <v>#REF!</v>
      </c>
      <c r="H164" s="114">
        <v>19</v>
      </c>
      <c r="I164" s="155"/>
      <c r="J164" s="155"/>
      <c r="K164" s="119"/>
      <c r="L164" s="120">
        <f t="shared" si="10"/>
        <v>19</v>
      </c>
      <c r="M164" s="109">
        <f t="shared" si="9"/>
        <v>95</v>
      </c>
      <c r="N164" s="42"/>
    </row>
    <row r="165" spans="1:14" x14ac:dyDescent="0.25">
      <c r="A165" s="196"/>
      <c r="B165" s="157" t="s">
        <v>166</v>
      </c>
      <c r="C165" s="158" t="s">
        <v>203</v>
      </c>
      <c r="D165" s="159"/>
      <c r="E165" s="152">
        <v>0.8</v>
      </c>
      <c r="F165" s="153">
        <v>1.5</v>
      </c>
      <c r="G165" s="160" t="e">
        <f>#REF!/(1-0.25)</f>
        <v>#REF!</v>
      </c>
      <c r="H165" s="159">
        <v>24</v>
      </c>
      <c r="I165" s="161"/>
      <c r="J165" s="161"/>
      <c r="K165" s="162"/>
      <c r="L165" s="120">
        <f t="shared" si="10"/>
        <v>24</v>
      </c>
      <c r="M165" s="109">
        <f t="shared" si="9"/>
        <v>19.200000000000003</v>
      </c>
      <c r="N165" s="42"/>
    </row>
    <row r="166" spans="1:14" x14ac:dyDescent="0.25">
      <c r="A166" s="196"/>
      <c r="B166" s="157" t="s">
        <v>166</v>
      </c>
      <c r="C166" s="158" t="s">
        <v>285</v>
      </c>
      <c r="D166" s="159"/>
      <c r="E166" s="152"/>
      <c r="F166" s="153">
        <v>1.5</v>
      </c>
      <c r="G166" s="160"/>
      <c r="H166" s="159">
        <v>0</v>
      </c>
      <c r="I166" s="161"/>
      <c r="J166" s="161"/>
      <c r="K166" s="162"/>
      <c r="L166" s="120">
        <f t="shared" si="10"/>
        <v>0</v>
      </c>
      <c r="M166" s="109">
        <f t="shared" si="9"/>
        <v>0</v>
      </c>
      <c r="N166" s="42"/>
    </row>
    <row r="167" spans="1:14" x14ac:dyDescent="0.25">
      <c r="A167" s="196"/>
      <c r="B167" s="150" t="s">
        <v>166</v>
      </c>
      <c r="C167" s="151" t="s">
        <v>238</v>
      </c>
      <c r="D167" s="151"/>
      <c r="E167" s="152">
        <f>12/15</f>
        <v>0.8</v>
      </c>
      <c r="F167" s="153">
        <v>1.5</v>
      </c>
      <c r="G167" s="147"/>
      <c r="H167" s="151">
        <v>31</v>
      </c>
      <c r="I167" s="155"/>
      <c r="J167" s="155"/>
      <c r="K167" s="156"/>
      <c r="L167" s="120">
        <f t="shared" si="10"/>
        <v>31</v>
      </c>
      <c r="M167" s="109">
        <f t="shared" si="9"/>
        <v>24.8</v>
      </c>
      <c r="N167" s="42"/>
    </row>
    <row r="168" spans="1:14" x14ac:dyDescent="0.25">
      <c r="A168" s="196"/>
      <c r="B168" s="150" t="s">
        <v>166</v>
      </c>
      <c r="C168" s="151" t="s">
        <v>204</v>
      </c>
      <c r="D168" s="151"/>
      <c r="E168" s="152">
        <v>2.375</v>
      </c>
      <c r="F168" s="153">
        <v>4</v>
      </c>
      <c r="G168" s="154" t="e">
        <f>#REF!/(1-0.25)</f>
        <v>#REF!</v>
      </c>
      <c r="H168" s="151">
        <v>14</v>
      </c>
      <c r="I168" s="155"/>
      <c r="J168" s="155"/>
      <c r="K168" s="156"/>
      <c r="L168" s="120">
        <f t="shared" si="10"/>
        <v>14</v>
      </c>
      <c r="M168" s="109">
        <f t="shared" si="9"/>
        <v>33.25</v>
      </c>
      <c r="N168" s="42"/>
    </row>
    <row r="169" spans="1:14" ht="19.5" thickBot="1" x14ac:dyDescent="0.3">
      <c r="A169" s="197"/>
      <c r="B169" s="163" t="s">
        <v>130</v>
      </c>
      <c r="C169" s="164" t="s">
        <v>205</v>
      </c>
      <c r="D169" s="124"/>
      <c r="E169" s="140">
        <v>1.4</v>
      </c>
      <c r="F169" s="142">
        <v>2.5</v>
      </c>
      <c r="G169" s="165" t="e">
        <f>#REF!/(1-0.25)</f>
        <v>#REF!</v>
      </c>
      <c r="H169" s="124">
        <v>10</v>
      </c>
      <c r="I169" s="127"/>
      <c r="J169" s="127"/>
      <c r="K169" s="128"/>
      <c r="L169" s="120">
        <f t="shared" si="10"/>
        <v>10</v>
      </c>
      <c r="M169" s="109">
        <f t="shared" si="9"/>
        <v>14</v>
      </c>
      <c r="N169" s="42"/>
    </row>
    <row r="170" spans="1:14" x14ac:dyDescent="0.25">
      <c r="A170" s="201" t="s">
        <v>227</v>
      </c>
      <c r="B170" s="143" t="s">
        <v>196</v>
      </c>
      <c r="C170" s="166" t="s">
        <v>207</v>
      </c>
      <c r="D170" s="145"/>
      <c r="E170" s="121">
        <v>2.75</v>
      </c>
      <c r="F170" s="146">
        <v>3</v>
      </c>
      <c r="G170" s="147" t="e">
        <f>#REF!/(1-0.25)</f>
        <v>#REF!</v>
      </c>
      <c r="H170" s="145">
        <v>17</v>
      </c>
      <c r="I170" s="148"/>
      <c r="J170" s="148"/>
      <c r="K170" s="149"/>
      <c r="L170" s="120">
        <f t="shared" si="10"/>
        <v>17</v>
      </c>
      <c r="M170" s="109">
        <f t="shared" si="9"/>
        <v>46.75</v>
      </c>
      <c r="N170" s="42"/>
    </row>
    <row r="171" spans="1:14" x14ac:dyDescent="0.25">
      <c r="A171" s="202"/>
      <c r="B171" s="150" t="s">
        <v>196</v>
      </c>
      <c r="C171" s="151" t="s">
        <v>208</v>
      </c>
      <c r="D171" s="151"/>
      <c r="E171" s="152">
        <v>2.75</v>
      </c>
      <c r="F171" s="153">
        <v>3</v>
      </c>
      <c r="G171" s="147" t="e">
        <f>#REF!/(1-0.25)</f>
        <v>#REF!</v>
      </c>
      <c r="H171" s="151">
        <v>0</v>
      </c>
      <c r="I171" s="155"/>
      <c r="J171" s="155"/>
      <c r="K171" s="156"/>
      <c r="L171" s="120">
        <f t="shared" si="10"/>
        <v>0</v>
      </c>
      <c r="M171" s="109">
        <f t="shared" si="9"/>
        <v>0</v>
      </c>
      <c r="N171" s="42"/>
    </row>
    <row r="172" spans="1:14" x14ac:dyDescent="0.25">
      <c r="A172" s="202"/>
      <c r="B172" s="150" t="s">
        <v>196</v>
      </c>
      <c r="C172" s="151" t="s">
        <v>210</v>
      </c>
      <c r="D172" s="151"/>
      <c r="E172" s="152">
        <v>2.74</v>
      </c>
      <c r="F172" s="153">
        <v>4.5</v>
      </c>
      <c r="G172" s="154" t="e">
        <f>#REF!/(1-0.25)</f>
        <v>#REF!</v>
      </c>
      <c r="H172" s="151">
        <v>8</v>
      </c>
      <c r="I172" s="155"/>
      <c r="J172" s="155"/>
      <c r="K172" s="156"/>
      <c r="L172" s="120">
        <f t="shared" si="10"/>
        <v>8</v>
      </c>
      <c r="M172" s="109">
        <f t="shared" si="9"/>
        <v>21.92</v>
      </c>
      <c r="N172" s="42"/>
    </row>
    <row r="173" spans="1:14" x14ac:dyDescent="0.25">
      <c r="A173" s="202"/>
      <c r="B173" s="150" t="s">
        <v>196</v>
      </c>
      <c r="C173" s="151" t="s">
        <v>348</v>
      </c>
      <c r="D173" s="151"/>
      <c r="E173" s="152">
        <v>3.26</v>
      </c>
      <c r="F173" s="153">
        <v>4.5</v>
      </c>
      <c r="G173" s="147"/>
      <c r="H173" s="151">
        <v>14</v>
      </c>
      <c r="I173" s="155"/>
      <c r="J173" s="155"/>
      <c r="K173" s="156"/>
      <c r="L173" s="120">
        <f t="shared" si="10"/>
        <v>14</v>
      </c>
      <c r="M173" s="109">
        <f t="shared" si="9"/>
        <v>45.64</v>
      </c>
      <c r="N173" s="112"/>
    </row>
    <row r="174" spans="1:14" x14ac:dyDescent="0.25">
      <c r="A174" s="202"/>
      <c r="B174" s="150" t="s">
        <v>196</v>
      </c>
      <c r="C174" s="151" t="s">
        <v>209</v>
      </c>
      <c r="D174" s="151"/>
      <c r="E174" s="152">
        <v>5.2</v>
      </c>
      <c r="F174" s="153">
        <v>6.5</v>
      </c>
      <c r="G174" s="147" t="e">
        <f>#REF!/(1-0.25)</f>
        <v>#REF!</v>
      </c>
      <c r="H174" s="151">
        <v>16</v>
      </c>
      <c r="I174" s="155"/>
      <c r="J174" s="155"/>
      <c r="K174" s="156"/>
      <c r="L174" s="120">
        <f t="shared" si="10"/>
        <v>16</v>
      </c>
      <c r="M174" s="109">
        <f t="shared" si="9"/>
        <v>83.2</v>
      </c>
      <c r="N174" s="42"/>
    </row>
    <row r="175" spans="1:14" x14ac:dyDescent="0.25">
      <c r="A175" s="202"/>
      <c r="B175" s="150" t="s">
        <v>196</v>
      </c>
      <c r="C175" s="167" t="s">
        <v>228</v>
      </c>
      <c r="D175" s="151"/>
      <c r="E175" s="152">
        <v>6.5</v>
      </c>
      <c r="F175" s="153">
        <v>9.5</v>
      </c>
      <c r="G175" s="154" t="e">
        <f>#REF!/(1-0.25)</f>
        <v>#REF!</v>
      </c>
      <c r="H175" s="151">
        <v>16</v>
      </c>
      <c r="I175" s="155"/>
      <c r="J175" s="155"/>
      <c r="K175" s="156"/>
      <c r="L175" s="120">
        <f t="shared" si="10"/>
        <v>16</v>
      </c>
      <c r="M175" s="109">
        <f t="shared" si="9"/>
        <v>104</v>
      </c>
      <c r="N175" s="42"/>
    </row>
    <row r="176" spans="1:14" x14ac:dyDescent="0.25">
      <c r="A176" s="202"/>
      <c r="B176" s="150" t="s">
        <v>196</v>
      </c>
      <c r="C176" s="167" t="s">
        <v>372</v>
      </c>
      <c r="D176" s="151"/>
      <c r="E176" s="152">
        <v>2.75</v>
      </c>
      <c r="F176" s="153">
        <v>3</v>
      </c>
      <c r="G176" s="147" t="e">
        <f>#REF!/(1-0.25)</f>
        <v>#REF!</v>
      </c>
      <c r="H176" s="151">
        <v>14</v>
      </c>
      <c r="I176" s="155"/>
      <c r="J176" s="155"/>
      <c r="K176" s="156">
        <v>1</v>
      </c>
      <c r="L176" s="120">
        <f t="shared" si="10"/>
        <v>13</v>
      </c>
      <c r="M176" s="109">
        <f t="shared" si="9"/>
        <v>35.75</v>
      </c>
      <c r="N176" s="42"/>
    </row>
    <row r="177" spans="1:14" x14ac:dyDescent="0.25">
      <c r="A177" s="202"/>
      <c r="B177" s="150" t="s">
        <v>196</v>
      </c>
      <c r="C177" s="151" t="s">
        <v>215</v>
      </c>
      <c r="D177" s="151"/>
      <c r="E177" s="152">
        <v>2.74</v>
      </c>
      <c r="F177" s="153">
        <v>3</v>
      </c>
      <c r="G177" s="154" t="e">
        <f>#REF!/(1-0.25)</f>
        <v>#REF!</v>
      </c>
      <c r="H177" s="151">
        <v>0</v>
      </c>
      <c r="I177" s="155"/>
      <c r="J177" s="155"/>
      <c r="K177" s="156"/>
      <c r="L177" s="120">
        <f t="shared" si="10"/>
        <v>0</v>
      </c>
      <c r="M177" s="109">
        <f t="shared" si="9"/>
        <v>0</v>
      </c>
      <c r="N177" s="42"/>
    </row>
    <row r="178" spans="1:14" x14ac:dyDescent="0.25">
      <c r="A178" s="202"/>
      <c r="B178" s="150" t="s">
        <v>196</v>
      </c>
      <c r="C178" s="151" t="s">
        <v>212</v>
      </c>
      <c r="D178" s="151"/>
      <c r="E178" s="152">
        <v>2.74</v>
      </c>
      <c r="F178" s="153">
        <v>4.5</v>
      </c>
      <c r="G178" s="147" t="e">
        <f>#REF!/(1-0.25)</f>
        <v>#REF!</v>
      </c>
      <c r="H178" s="151">
        <v>12</v>
      </c>
      <c r="I178" s="155"/>
      <c r="J178" s="155"/>
      <c r="K178" s="156"/>
      <c r="L178" s="120">
        <f t="shared" si="10"/>
        <v>12</v>
      </c>
      <c r="M178" s="109">
        <f t="shared" si="9"/>
        <v>32.880000000000003</v>
      </c>
      <c r="N178" s="42"/>
    </row>
    <row r="179" spans="1:14" x14ac:dyDescent="0.25">
      <c r="A179" s="202"/>
      <c r="B179" s="150" t="s">
        <v>196</v>
      </c>
      <c r="C179" s="151" t="s">
        <v>214</v>
      </c>
      <c r="D179" s="151"/>
      <c r="E179" s="152">
        <v>5.2</v>
      </c>
      <c r="F179" s="153">
        <v>6.5</v>
      </c>
      <c r="G179" s="154" t="e">
        <f>#REF!/(1-0.25)</f>
        <v>#REF!</v>
      </c>
      <c r="H179" s="151">
        <v>7</v>
      </c>
      <c r="I179" s="155"/>
      <c r="J179" s="155"/>
      <c r="K179" s="156"/>
      <c r="L179" s="120">
        <f t="shared" si="10"/>
        <v>7</v>
      </c>
      <c r="M179" s="109">
        <f t="shared" si="9"/>
        <v>36.4</v>
      </c>
      <c r="N179" s="42"/>
    </row>
    <row r="180" spans="1:14" x14ac:dyDescent="0.25">
      <c r="A180" s="202"/>
      <c r="B180" s="150" t="s">
        <v>196</v>
      </c>
      <c r="C180" s="167" t="s">
        <v>318</v>
      </c>
      <c r="D180" s="151"/>
      <c r="E180" s="151">
        <v>6.5</v>
      </c>
      <c r="F180" s="153">
        <v>9.5</v>
      </c>
      <c r="G180" s="147" t="e">
        <f>#REF!/(1-0.25)</f>
        <v>#REF!</v>
      </c>
      <c r="H180" s="151">
        <v>10</v>
      </c>
      <c r="I180" s="155"/>
      <c r="J180" s="155"/>
      <c r="K180" s="156"/>
      <c r="L180" s="120">
        <f t="shared" si="10"/>
        <v>10</v>
      </c>
      <c r="M180" s="109">
        <f t="shared" si="9"/>
        <v>65</v>
      </c>
      <c r="N180" s="42"/>
    </row>
    <row r="181" spans="1:14" x14ac:dyDescent="0.25">
      <c r="A181" s="202"/>
      <c r="B181" s="150" t="s">
        <v>196</v>
      </c>
      <c r="C181" s="158" t="s">
        <v>319</v>
      </c>
      <c r="D181" s="151"/>
      <c r="E181" s="151">
        <v>1.7</v>
      </c>
      <c r="F181" s="153">
        <v>9</v>
      </c>
      <c r="G181" s="147"/>
      <c r="H181" s="151">
        <v>7</v>
      </c>
      <c r="I181" s="155"/>
      <c r="J181" s="155"/>
      <c r="K181" s="156"/>
      <c r="L181" s="120">
        <f t="shared" si="10"/>
        <v>7</v>
      </c>
      <c r="M181" s="109">
        <f t="shared" si="9"/>
        <v>11.9</v>
      </c>
      <c r="N181" s="42"/>
    </row>
    <row r="182" spans="1:14" x14ac:dyDescent="0.25">
      <c r="A182" s="202"/>
      <c r="B182" s="150" t="s">
        <v>196</v>
      </c>
      <c r="C182" s="158" t="s">
        <v>320</v>
      </c>
      <c r="D182" s="151"/>
      <c r="E182" s="151">
        <v>1.7</v>
      </c>
      <c r="F182" s="153">
        <v>2</v>
      </c>
      <c r="G182" s="147"/>
      <c r="H182" s="151">
        <v>27</v>
      </c>
      <c r="I182" s="155"/>
      <c r="J182" s="155"/>
      <c r="K182" s="156"/>
      <c r="L182" s="120">
        <f t="shared" si="10"/>
        <v>27</v>
      </c>
      <c r="M182" s="109">
        <f t="shared" si="9"/>
        <v>45.9</v>
      </c>
      <c r="N182" s="42"/>
    </row>
    <row r="183" spans="1:14" x14ac:dyDescent="0.25">
      <c r="A183" s="202"/>
      <c r="B183" s="150" t="s">
        <v>196</v>
      </c>
      <c r="C183" s="158" t="s">
        <v>321</v>
      </c>
      <c r="D183" s="151"/>
      <c r="E183" s="151">
        <v>1.7</v>
      </c>
      <c r="F183" s="153">
        <v>2</v>
      </c>
      <c r="G183" s="147"/>
      <c r="H183" s="151">
        <v>27</v>
      </c>
      <c r="I183" s="155"/>
      <c r="J183" s="155"/>
      <c r="K183" s="156"/>
      <c r="L183" s="120">
        <f t="shared" si="10"/>
        <v>27</v>
      </c>
      <c r="M183" s="109">
        <f t="shared" si="9"/>
        <v>45.9</v>
      </c>
      <c r="N183" s="42"/>
    </row>
    <row r="184" spans="1:14" x14ac:dyDescent="0.25">
      <c r="A184" s="202"/>
      <c r="B184" s="150" t="s">
        <v>196</v>
      </c>
      <c r="C184" s="151" t="s">
        <v>216</v>
      </c>
      <c r="D184" s="151"/>
      <c r="E184" s="152">
        <v>1.25</v>
      </c>
      <c r="F184" s="153">
        <v>2.2000000000000002</v>
      </c>
      <c r="G184" s="154" t="e">
        <f>#REF!/(1-0.25)</f>
        <v>#REF!</v>
      </c>
      <c r="H184" s="151">
        <v>0</v>
      </c>
      <c r="I184" s="155"/>
      <c r="J184" s="155"/>
      <c r="K184" s="156"/>
      <c r="L184" s="120">
        <f t="shared" si="10"/>
        <v>0</v>
      </c>
      <c r="M184" s="109">
        <f t="shared" si="9"/>
        <v>0</v>
      </c>
      <c r="N184" s="42"/>
    </row>
    <row r="185" spans="1:14" x14ac:dyDescent="0.25">
      <c r="A185" s="202"/>
      <c r="B185" s="150" t="s">
        <v>196</v>
      </c>
      <c r="C185" s="151" t="s">
        <v>217</v>
      </c>
      <c r="D185" s="151"/>
      <c r="E185" s="152">
        <v>3.24</v>
      </c>
      <c r="F185" s="153">
        <v>5.5</v>
      </c>
      <c r="G185" s="147" t="e">
        <f>#REF!/(1-0.25)</f>
        <v>#REF!</v>
      </c>
      <c r="H185" s="151">
        <v>0</v>
      </c>
      <c r="I185" s="155"/>
      <c r="J185" s="155"/>
      <c r="K185" s="156"/>
      <c r="L185" s="120">
        <f t="shared" si="10"/>
        <v>0</v>
      </c>
      <c r="M185" s="109">
        <f t="shared" si="9"/>
        <v>0</v>
      </c>
      <c r="N185" s="42"/>
    </row>
    <row r="186" spans="1:14" x14ac:dyDescent="0.25">
      <c r="A186" s="202"/>
      <c r="B186" s="150" t="s">
        <v>196</v>
      </c>
      <c r="C186" s="151" t="s">
        <v>218</v>
      </c>
      <c r="D186" s="151"/>
      <c r="E186" s="152">
        <v>1.25</v>
      </c>
      <c r="F186" s="153">
        <v>2.2000000000000002</v>
      </c>
      <c r="G186" s="154" t="e">
        <f>#REF!/(1-0.25)</f>
        <v>#REF!</v>
      </c>
      <c r="H186" s="151">
        <v>0</v>
      </c>
      <c r="I186" s="155"/>
      <c r="J186" s="155"/>
      <c r="K186" s="156"/>
      <c r="L186" s="120">
        <f t="shared" si="10"/>
        <v>0</v>
      </c>
      <c r="M186" s="109">
        <f t="shared" si="9"/>
        <v>0</v>
      </c>
      <c r="N186" s="42"/>
    </row>
    <row r="187" spans="1:14" x14ac:dyDescent="0.25">
      <c r="A187" s="202"/>
      <c r="B187" s="150" t="s">
        <v>196</v>
      </c>
      <c r="C187" s="151" t="s">
        <v>219</v>
      </c>
      <c r="D187" s="151"/>
      <c r="E187" s="152">
        <v>3.24</v>
      </c>
      <c r="F187" s="153">
        <v>5</v>
      </c>
      <c r="G187" s="147" t="e">
        <f>#REF!/(1-0.25)</f>
        <v>#REF!</v>
      </c>
      <c r="H187" s="151">
        <v>0</v>
      </c>
      <c r="I187" s="155"/>
      <c r="J187" s="155"/>
      <c r="K187" s="156"/>
      <c r="L187" s="120">
        <f t="shared" si="10"/>
        <v>0</v>
      </c>
      <c r="M187" s="109">
        <f t="shared" si="9"/>
        <v>0</v>
      </c>
      <c r="N187" s="42"/>
    </row>
    <row r="188" spans="1:14" x14ac:dyDescent="0.25">
      <c r="A188" s="202"/>
      <c r="B188" s="150" t="s">
        <v>196</v>
      </c>
      <c r="C188" s="151" t="s">
        <v>267</v>
      </c>
      <c r="D188" s="151"/>
      <c r="E188" s="152">
        <v>0.87</v>
      </c>
      <c r="F188" s="153">
        <v>2</v>
      </c>
      <c r="G188" s="147" t="e">
        <f>#REF!/(1-0.25)</f>
        <v>#REF!</v>
      </c>
      <c r="H188" s="151">
        <v>0</v>
      </c>
      <c r="I188" s="155"/>
      <c r="J188" s="155"/>
      <c r="K188" s="156"/>
      <c r="L188" s="120">
        <f t="shared" si="10"/>
        <v>0</v>
      </c>
      <c r="M188" s="109">
        <f t="shared" si="9"/>
        <v>0</v>
      </c>
      <c r="N188" s="42"/>
    </row>
    <row r="189" spans="1:14" x14ac:dyDescent="0.25">
      <c r="A189" s="202"/>
      <c r="B189" s="150" t="s">
        <v>196</v>
      </c>
      <c r="C189" s="151" t="s">
        <v>324</v>
      </c>
      <c r="D189" s="151"/>
      <c r="E189" s="152">
        <v>0.89</v>
      </c>
      <c r="F189" s="153">
        <v>1.2</v>
      </c>
      <c r="G189" s="147"/>
      <c r="H189" s="151">
        <v>14</v>
      </c>
      <c r="I189" s="155"/>
      <c r="J189" s="155"/>
      <c r="K189" s="156"/>
      <c r="L189" s="120">
        <f t="shared" si="10"/>
        <v>14</v>
      </c>
      <c r="M189" s="109">
        <f t="shared" si="9"/>
        <v>12.46</v>
      </c>
      <c r="N189" s="42"/>
    </row>
    <row r="190" spans="1:14" x14ac:dyDescent="0.25">
      <c r="A190" s="202"/>
      <c r="B190" s="150" t="s">
        <v>224</v>
      </c>
      <c r="C190" s="151" t="s">
        <v>220</v>
      </c>
      <c r="D190" s="151"/>
      <c r="E190" s="152">
        <v>2.5299999999999998</v>
      </c>
      <c r="F190" s="153">
        <v>4</v>
      </c>
      <c r="G190" s="154" t="e">
        <f>#REF!/(1-0.25)</f>
        <v>#REF!</v>
      </c>
      <c r="H190" s="151">
        <v>10</v>
      </c>
      <c r="I190" s="155"/>
      <c r="J190" s="155"/>
      <c r="K190" s="156"/>
      <c r="L190" s="120">
        <f t="shared" si="10"/>
        <v>10</v>
      </c>
      <c r="M190" s="109">
        <f t="shared" si="9"/>
        <v>25.299999999999997</v>
      </c>
      <c r="N190" s="42"/>
    </row>
    <row r="191" spans="1:14" x14ac:dyDescent="0.25">
      <c r="A191" s="202"/>
      <c r="B191" s="150" t="s">
        <v>224</v>
      </c>
      <c r="C191" s="167" t="s">
        <v>229</v>
      </c>
      <c r="D191" s="151"/>
      <c r="E191" s="152">
        <v>2</v>
      </c>
      <c r="F191" s="153">
        <v>2.5</v>
      </c>
      <c r="G191" s="147" t="e">
        <f>#REF!/(1-0.25)</f>
        <v>#REF!</v>
      </c>
      <c r="H191" s="151">
        <v>22</v>
      </c>
      <c r="I191" s="155"/>
      <c r="J191" s="155"/>
      <c r="K191" s="156"/>
      <c r="L191" s="120">
        <f t="shared" si="10"/>
        <v>22</v>
      </c>
      <c r="M191" s="109">
        <f t="shared" si="9"/>
        <v>44</v>
      </c>
      <c r="N191" s="42"/>
    </row>
    <row r="192" spans="1:14" x14ac:dyDescent="0.25">
      <c r="A192" s="202"/>
      <c r="B192" s="150" t="s">
        <v>166</v>
      </c>
      <c r="C192" s="151" t="s">
        <v>221</v>
      </c>
      <c r="D192" s="151"/>
      <c r="E192" s="152">
        <v>1.47</v>
      </c>
      <c r="F192" s="153">
        <v>3.5</v>
      </c>
      <c r="G192" s="154" t="e">
        <f>#REF!/(1-0.25)</f>
        <v>#REF!</v>
      </c>
      <c r="H192" s="151">
        <v>0</v>
      </c>
      <c r="I192" s="155"/>
      <c r="J192" s="155"/>
      <c r="K192" s="156"/>
      <c r="L192" s="120">
        <f t="shared" si="10"/>
        <v>0</v>
      </c>
      <c r="M192" s="109">
        <f t="shared" si="9"/>
        <v>0</v>
      </c>
      <c r="N192" s="42"/>
    </row>
    <row r="193" spans="1:16" ht="19.5" thickBot="1" x14ac:dyDescent="0.3">
      <c r="A193" s="202"/>
      <c r="B193" s="150" t="s">
        <v>166</v>
      </c>
      <c r="C193" s="151" t="s">
        <v>377</v>
      </c>
      <c r="D193" s="151"/>
      <c r="E193" s="140">
        <v>0.89</v>
      </c>
      <c r="F193" s="153">
        <v>2</v>
      </c>
      <c r="G193" s="147"/>
      <c r="H193" s="151">
        <v>39</v>
      </c>
      <c r="I193" s="155"/>
      <c r="J193" s="155"/>
      <c r="K193" s="156"/>
      <c r="L193" s="120">
        <f t="shared" si="10"/>
        <v>39</v>
      </c>
      <c r="M193" s="109">
        <f t="shared" si="9"/>
        <v>34.71</v>
      </c>
      <c r="N193" s="42"/>
    </row>
    <row r="194" spans="1:16" x14ac:dyDescent="0.25">
      <c r="A194" s="202"/>
      <c r="B194" s="150" t="s">
        <v>166</v>
      </c>
      <c r="C194" s="151" t="s">
        <v>326</v>
      </c>
      <c r="D194" s="151"/>
      <c r="E194" s="151">
        <v>1.5</v>
      </c>
      <c r="F194" s="153">
        <v>2</v>
      </c>
      <c r="G194" s="147" t="e">
        <f>#REF!/(1-0.25)</f>
        <v>#REF!</v>
      </c>
      <c r="H194" s="151">
        <v>36</v>
      </c>
      <c r="I194" s="155"/>
      <c r="J194" s="155"/>
      <c r="K194" s="156"/>
      <c r="L194" s="120">
        <f t="shared" si="10"/>
        <v>36</v>
      </c>
      <c r="M194" s="109">
        <f t="shared" si="9"/>
        <v>54</v>
      </c>
      <c r="N194" s="42"/>
    </row>
    <row r="195" spans="1:16" ht="19.5" thickBot="1" x14ac:dyDescent="0.3">
      <c r="A195" s="203"/>
      <c r="B195" s="124" t="s">
        <v>166</v>
      </c>
      <c r="C195" s="124" t="s">
        <v>223</v>
      </c>
      <c r="D195" s="124"/>
      <c r="E195" s="124"/>
      <c r="F195" s="142">
        <v>2</v>
      </c>
      <c r="G195" s="126" t="e">
        <f>#REF!/(1-0.25)</f>
        <v>#REF!</v>
      </c>
      <c r="H195" s="124">
        <v>0</v>
      </c>
      <c r="I195" s="127"/>
      <c r="J195" s="127"/>
      <c r="K195" s="128"/>
      <c r="L195" s="120">
        <f t="shared" si="10"/>
        <v>0</v>
      </c>
      <c r="M195" s="109">
        <f t="shared" si="9"/>
        <v>0</v>
      </c>
      <c r="N195" s="42"/>
    </row>
    <row r="196" spans="1:16" x14ac:dyDescent="0.25">
      <c r="A196" s="83"/>
      <c r="B196" s="130" t="s">
        <v>196</v>
      </c>
      <c r="C196" s="130" t="s">
        <v>235</v>
      </c>
      <c r="D196" s="130"/>
      <c r="E196" s="131">
        <v>6.92</v>
      </c>
      <c r="F196" s="132">
        <v>9</v>
      </c>
      <c r="G196" s="133" t="e">
        <f>#REF!/(1-0.25)</f>
        <v>#REF!</v>
      </c>
      <c r="H196" s="130">
        <v>8</v>
      </c>
      <c r="I196" s="134"/>
      <c r="J196" s="134"/>
      <c r="K196" s="135"/>
      <c r="L196" s="120">
        <f t="shared" si="10"/>
        <v>8</v>
      </c>
      <c r="M196" s="109">
        <f t="shared" si="9"/>
        <v>55.36</v>
      </c>
      <c r="N196" s="42"/>
    </row>
    <row r="197" spans="1:16" x14ac:dyDescent="0.25">
      <c r="A197" s="83"/>
      <c r="B197" s="114" t="s">
        <v>234</v>
      </c>
      <c r="C197" s="114" t="s">
        <v>236</v>
      </c>
      <c r="D197" s="114"/>
      <c r="E197" s="115">
        <v>4.5599999999999996</v>
      </c>
      <c r="F197" s="138">
        <v>6</v>
      </c>
      <c r="G197" s="117" t="e">
        <f>#REF!/(1-0.25)</f>
        <v>#REF!</v>
      </c>
      <c r="H197" s="114">
        <v>4</v>
      </c>
      <c r="I197" s="118"/>
      <c r="J197" s="118"/>
      <c r="K197" s="119"/>
      <c r="L197" s="120">
        <f t="shared" si="10"/>
        <v>4</v>
      </c>
      <c r="M197" s="109">
        <f t="shared" ref="M197:M260" si="11">E197*L197</f>
        <v>18.239999999999998</v>
      </c>
      <c r="N197" s="42"/>
    </row>
    <row r="198" spans="1:16" x14ac:dyDescent="0.25">
      <c r="A198" s="83"/>
      <c r="B198" s="114" t="s">
        <v>196</v>
      </c>
      <c r="C198" s="114" t="s">
        <v>237</v>
      </c>
      <c r="D198" s="114"/>
      <c r="E198" s="115">
        <v>1.41</v>
      </c>
      <c r="F198" s="138">
        <v>2</v>
      </c>
      <c r="G198" s="117" t="e">
        <f>#REF!/(1-0.25)</f>
        <v>#REF!</v>
      </c>
      <c r="H198" s="114">
        <v>6</v>
      </c>
      <c r="I198" s="118"/>
      <c r="J198" s="118"/>
      <c r="K198" s="119"/>
      <c r="L198" s="120">
        <f t="shared" ref="L198:L203" si="12">H198-K198</f>
        <v>6</v>
      </c>
      <c r="M198" s="109">
        <f t="shared" si="11"/>
        <v>8.4599999999999991</v>
      </c>
      <c r="N198" s="42"/>
    </row>
    <row r="199" spans="1:16" ht="19.5" thickBot="1" x14ac:dyDescent="0.3">
      <c r="B199" s="168" t="s">
        <v>167</v>
      </c>
      <c r="C199" s="168" t="s">
        <v>153</v>
      </c>
      <c r="D199" s="145"/>
      <c r="E199" s="169">
        <v>3.64</v>
      </c>
      <c r="F199" s="146">
        <v>5</v>
      </c>
      <c r="G199" s="147" t="e">
        <f>#REF!/(1-0.25)</f>
        <v>#REF!</v>
      </c>
      <c r="H199" s="145">
        <v>0</v>
      </c>
      <c r="I199" s="170"/>
      <c r="J199" s="170"/>
      <c r="K199" s="149"/>
      <c r="L199" s="120">
        <f t="shared" si="12"/>
        <v>0</v>
      </c>
      <c r="M199" s="109">
        <f t="shared" si="11"/>
        <v>0</v>
      </c>
      <c r="N199" s="42"/>
    </row>
    <row r="200" spans="1:16" ht="19.5" thickBot="1" x14ac:dyDescent="0.3">
      <c r="B200" s="171" t="s">
        <v>167</v>
      </c>
      <c r="C200" s="172" t="s">
        <v>342</v>
      </c>
      <c r="D200" s="139"/>
      <c r="E200" s="139">
        <v>63.25</v>
      </c>
      <c r="F200" s="138">
        <v>70</v>
      </c>
      <c r="G200" s="166"/>
      <c r="H200" s="173"/>
      <c r="I200" s="174"/>
      <c r="J200" s="148"/>
      <c r="K200" s="119"/>
      <c r="L200" s="120">
        <f t="shared" si="12"/>
        <v>0</v>
      </c>
      <c r="M200" s="109">
        <f t="shared" si="11"/>
        <v>0</v>
      </c>
    </row>
    <row r="201" spans="1:16" ht="19.5" thickBot="1" x14ac:dyDescent="0.3">
      <c r="B201" s="171" t="s">
        <v>167</v>
      </c>
      <c r="C201" s="172" t="s">
        <v>343</v>
      </c>
      <c r="D201" s="139"/>
      <c r="E201" s="139">
        <v>63.25</v>
      </c>
      <c r="F201" s="138">
        <v>70</v>
      </c>
      <c r="G201" s="147" t="e">
        <f>#REF!/(1-0.25)</f>
        <v>#REF!</v>
      </c>
      <c r="H201" s="139">
        <v>10</v>
      </c>
      <c r="I201" s="148"/>
      <c r="J201" s="148"/>
      <c r="K201" s="173"/>
      <c r="L201" s="120">
        <f t="shared" si="12"/>
        <v>10</v>
      </c>
      <c r="M201" s="109">
        <f t="shared" si="11"/>
        <v>632.5</v>
      </c>
      <c r="N201" s="42"/>
    </row>
    <row r="202" spans="1:16" ht="15.75" thickBot="1" x14ac:dyDescent="0.3">
      <c r="B202" s="175" t="s">
        <v>167</v>
      </c>
      <c r="C202" s="172" t="s">
        <v>154</v>
      </c>
      <c r="D202" s="172"/>
      <c r="E202" s="172">
        <v>5.27</v>
      </c>
      <c r="F202" s="172">
        <v>6</v>
      </c>
      <c r="G202" s="172" t="e">
        <f>#REF!/(1-0.25)</f>
        <v>#REF!</v>
      </c>
      <c r="H202" s="172">
        <v>105</v>
      </c>
      <c r="I202" s="176"/>
      <c r="J202" s="176"/>
      <c r="K202" s="176"/>
      <c r="L202" s="120">
        <f t="shared" si="12"/>
        <v>105</v>
      </c>
      <c r="M202" s="109">
        <f t="shared" si="11"/>
        <v>553.34999999999991</v>
      </c>
      <c r="O202" s="109">
        <f>12*4</f>
        <v>48</v>
      </c>
    </row>
    <row r="203" spans="1:16" ht="15.75" thickBot="1" x14ac:dyDescent="0.3">
      <c r="A203">
        <f>65.01/12</f>
        <v>5.4175000000000004</v>
      </c>
      <c r="B203" s="175" t="s">
        <v>167</v>
      </c>
      <c r="C203" s="172" t="s">
        <v>346</v>
      </c>
      <c r="D203" s="172"/>
      <c r="E203" s="172">
        <v>5.27</v>
      </c>
      <c r="F203" s="172">
        <v>6</v>
      </c>
      <c r="G203" s="172" t="e">
        <f>#REF!/(1-0.25)</f>
        <v>#REF!</v>
      </c>
      <c r="H203" s="172">
        <v>84</v>
      </c>
      <c r="I203" s="176"/>
      <c r="J203" s="176"/>
      <c r="K203" s="176"/>
      <c r="L203" s="120">
        <f t="shared" si="12"/>
        <v>84</v>
      </c>
      <c r="M203" s="109">
        <f t="shared" si="11"/>
        <v>442.67999999999995</v>
      </c>
      <c r="P203">
        <f>+O203/12</f>
        <v>0</v>
      </c>
    </row>
    <row r="204" spans="1:16" ht="19.5" thickBot="1" x14ac:dyDescent="0.3">
      <c r="A204">
        <f>62.01/12</f>
        <v>5.1674999999999995</v>
      </c>
      <c r="B204" s="175" t="s">
        <v>167</v>
      </c>
      <c r="C204" s="172" t="s">
        <v>384</v>
      </c>
      <c r="D204" s="172"/>
      <c r="E204" s="172">
        <f>E205/6</f>
        <v>3.64</v>
      </c>
      <c r="F204" s="138">
        <v>4.2</v>
      </c>
      <c r="G204" s="177"/>
      <c r="H204" s="172">
        <v>0</v>
      </c>
      <c r="I204" s="135"/>
      <c r="J204" s="135"/>
      <c r="K204" s="176"/>
      <c r="L204" s="120">
        <f>H204-K204</f>
        <v>0</v>
      </c>
      <c r="M204" s="109">
        <f t="shared" si="11"/>
        <v>0</v>
      </c>
      <c r="N204" s="42"/>
      <c r="P204" s="109"/>
    </row>
    <row r="205" spans="1:16" ht="19.5" thickBot="1" x14ac:dyDescent="0.3">
      <c r="B205" s="175" t="s">
        <v>167</v>
      </c>
      <c r="C205" s="172" t="s">
        <v>339</v>
      </c>
      <c r="D205" s="172"/>
      <c r="E205" s="172">
        <v>21.84</v>
      </c>
      <c r="F205" s="138">
        <v>25</v>
      </c>
      <c r="G205" s="144"/>
      <c r="H205" s="172">
        <v>0</v>
      </c>
      <c r="I205" s="135"/>
      <c r="J205" s="135"/>
      <c r="K205" s="176"/>
      <c r="L205" s="120">
        <f t="shared" ref="L205:L268" si="13">H205-K205</f>
        <v>0</v>
      </c>
      <c r="M205" s="109">
        <f t="shared" si="11"/>
        <v>0</v>
      </c>
      <c r="N205" s="42"/>
    </row>
    <row r="206" spans="1:16" ht="19.5" thickBot="1" x14ac:dyDescent="0.3">
      <c r="B206" s="175" t="s">
        <v>167</v>
      </c>
      <c r="C206" s="172" t="s">
        <v>347</v>
      </c>
      <c r="D206" s="172"/>
      <c r="E206" s="172">
        <v>20.8</v>
      </c>
      <c r="F206" s="138">
        <v>4.2</v>
      </c>
      <c r="G206" s="144"/>
      <c r="H206" s="172">
        <v>9</v>
      </c>
      <c r="I206" s="135"/>
      <c r="J206" s="135"/>
      <c r="K206" s="176"/>
      <c r="L206" s="120">
        <f t="shared" si="13"/>
        <v>9</v>
      </c>
      <c r="M206" s="109">
        <f t="shared" si="11"/>
        <v>187.20000000000002</v>
      </c>
      <c r="N206" s="42"/>
    </row>
    <row r="207" spans="1:16" ht="19.5" thickBot="1" x14ac:dyDescent="0.3">
      <c r="B207" s="175" t="s">
        <v>167</v>
      </c>
      <c r="C207" s="172" t="s">
        <v>385</v>
      </c>
      <c r="D207" s="172"/>
      <c r="E207" s="172">
        <f>E208/6</f>
        <v>4.2133333333333338</v>
      </c>
      <c r="F207" s="138">
        <v>5</v>
      </c>
      <c r="G207" s="144"/>
      <c r="H207" s="172">
        <v>54</v>
      </c>
      <c r="I207" s="135"/>
      <c r="J207" s="135"/>
      <c r="K207" s="176"/>
      <c r="L207" s="120">
        <f t="shared" si="13"/>
        <v>54</v>
      </c>
      <c r="M207" s="109">
        <f t="shared" si="11"/>
        <v>227.52000000000004</v>
      </c>
      <c r="N207" s="42"/>
    </row>
    <row r="208" spans="1:16" ht="19.5" thickBot="1" x14ac:dyDescent="0.3">
      <c r="B208" s="175" t="s">
        <v>167</v>
      </c>
      <c r="C208" s="172" t="s">
        <v>337</v>
      </c>
      <c r="D208" s="172"/>
      <c r="E208" s="172">
        <v>25.28</v>
      </c>
      <c r="F208" s="138">
        <v>30</v>
      </c>
      <c r="G208" s="144"/>
      <c r="H208" s="172"/>
      <c r="I208" s="135"/>
      <c r="J208" s="135"/>
      <c r="K208" s="176"/>
      <c r="L208" s="120">
        <f t="shared" si="13"/>
        <v>0</v>
      </c>
      <c r="M208" s="109">
        <f t="shared" si="11"/>
        <v>0</v>
      </c>
      <c r="N208" s="42"/>
      <c r="O208" s="109"/>
    </row>
    <row r="209" spans="1:14" ht="19.5" thickBot="1" x14ac:dyDescent="0.3">
      <c r="B209" s="124" t="s">
        <v>167</v>
      </c>
      <c r="C209" s="114" t="s">
        <v>155</v>
      </c>
      <c r="D209" s="119"/>
      <c r="E209" s="119"/>
      <c r="F209" s="138">
        <v>42</v>
      </c>
      <c r="G209" s="147" t="e">
        <f>#REF!/(1-0.25)</f>
        <v>#REF!</v>
      </c>
      <c r="H209" s="114">
        <v>0</v>
      </c>
      <c r="I209" s="119"/>
      <c r="J209" s="178"/>
      <c r="K209" s="119"/>
      <c r="L209" s="120">
        <f t="shared" si="13"/>
        <v>0</v>
      </c>
      <c r="M209" s="109">
        <f t="shared" si="11"/>
        <v>0</v>
      </c>
      <c r="N209" s="42"/>
    </row>
    <row r="210" spans="1:14" ht="19.5" thickBot="1" x14ac:dyDescent="0.3">
      <c r="A210">
        <f>100-14</f>
        <v>86</v>
      </c>
      <c r="B210" s="175" t="s">
        <v>167</v>
      </c>
      <c r="C210" s="179" t="s">
        <v>387</v>
      </c>
      <c r="D210" s="173"/>
      <c r="E210" s="173">
        <f>E211/6</f>
        <v>3.2066666666666666</v>
      </c>
      <c r="F210" s="138">
        <v>4</v>
      </c>
      <c r="G210" s="154" t="e">
        <f>#REF!/(1-0.25)</f>
        <v>#REF!</v>
      </c>
      <c r="H210" s="139">
        <v>20</v>
      </c>
      <c r="I210" s="119"/>
      <c r="J210" s="178"/>
      <c r="K210" s="173">
        <v>6</v>
      </c>
      <c r="L210" s="120">
        <f>H210-K210</f>
        <v>14</v>
      </c>
      <c r="M210" s="109">
        <f t="shared" si="11"/>
        <v>44.893333333333331</v>
      </c>
      <c r="N210" s="42"/>
    </row>
    <row r="211" spans="1:14" ht="19.5" thickBot="1" x14ac:dyDescent="0.3">
      <c r="B211" s="175" t="s">
        <v>167</v>
      </c>
      <c r="C211" s="179" t="s">
        <v>336</v>
      </c>
      <c r="D211" s="173"/>
      <c r="E211" s="173">
        <v>19.239999999999998</v>
      </c>
      <c r="F211" s="138">
        <v>24</v>
      </c>
      <c r="G211" s="147"/>
      <c r="H211" s="139"/>
      <c r="I211" s="119"/>
      <c r="J211" s="178"/>
      <c r="K211" s="173"/>
      <c r="L211" s="120">
        <f t="shared" si="13"/>
        <v>0</v>
      </c>
      <c r="M211" s="109">
        <f t="shared" si="11"/>
        <v>0</v>
      </c>
      <c r="N211" s="42"/>
    </row>
    <row r="212" spans="1:14" ht="19.5" thickBot="1" x14ac:dyDescent="0.3">
      <c r="B212" s="124" t="s">
        <v>167</v>
      </c>
      <c r="C212" s="114" t="s">
        <v>386</v>
      </c>
      <c r="D212" s="119"/>
      <c r="E212" s="119">
        <f>E213/6</f>
        <v>4.2133333333333338</v>
      </c>
      <c r="F212" s="138">
        <v>5</v>
      </c>
      <c r="G212" s="147" t="e">
        <f>#REF!/(1-0.25)</f>
        <v>#REF!</v>
      </c>
      <c r="H212" s="114"/>
      <c r="I212" s="119"/>
      <c r="J212" s="178"/>
      <c r="K212" s="119"/>
      <c r="L212" s="120">
        <f t="shared" si="13"/>
        <v>0</v>
      </c>
      <c r="M212" s="109">
        <f t="shared" si="11"/>
        <v>0</v>
      </c>
      <c r="N212" s="42"/>
    </row>
    <row r="213" spans="1:14" ht="19.5" thickBot="1" x14ac:dyDescent="0.3">
      <c r="B213" s="124" t="s">
        <v>167</v>
      </c>
      <c r="C213" s="114" t="s">
        <v>338</v>
      </c>
      <c r="D213" s="119"/>
      <c r="E213" s="119">
        <v>25.28</v>
      </c>
      <c r="F213" s="138">
        <v>30</v>
      </c>
      <c r="G213" s="147"/>
      <c r="H213" s="114">
        <v>2</v>
      </c>
      <c r="I213" s="119"/>
      <c r="J213" s="178"/>
      <c r="K213" s="119"/>
      <c r="L213" s="120">
        <f t="shared" si="13"/>
        <v>2</v>
      </c>
      <c r="M213" s="109">
        <f t="shared" si="11"/>
        <v>50.56</v>
      </c>
      <c r="N213" s="42"/>
    </row>
    <row r="214" spans="1:14" ht="19.5" thickBot="1" x14ac:dyDescent="0.3">
      <c r="B214" s="124" t="s">
        <v>167</v>
      </c>
      <c r="C214" s="114" t="s">
        <v>340</v>
      </c>
      <c r="D214" s="119"/>
      <c r="E214" s="119">
        <f>E215/6</f>
        <v>3.4183333333333334</v>
      </c>
      <c r="F214" s="138">
        <v>4</v>
      </c>
      <c r="G214" s="154" t="e">
        <f>#REF!/(1-0.25)</f>
        <v>#REF!</v>
      </c>
      <c r="H214" s="114">
        <v>24</v>
      </c>
      <c r="I214" s="119"/>
      <c r="J214" s="178"/>
      <c r="K214" s="119"/>
      <c r="L214" s="120">
        <f t="shared" si="13"/>
        <v>24</v>
      </c>
      <c r="M214" s="109">
        <f t="shared" si="11"/>
        <v>82.04</v>
      </c>
      <c r="N214" s="42"/>
    </row>
    <row r="215" spans="1:14" ht="19.5" thickBot="1" x14ac:dyDescent="0.3">
      <c r="B215" s="124" t="s">
        <v>167</v>
      </c>
      <c r="C215" s="114" t="s">
        <v>341</v>
      </c>
      <c r="D215" s="119"/>
      <c r="E215" s="119">
        <v>20.51</v>
      </c>
      <c r="F215" s="138">
        <v>24</v>
      </c>
      <c r="G215" s="154"/>
      <c r="H215" s="114"/>
      <c r="I215" s="119"/>
      <c r="J215" s="178"/>
      <c r="K215" s="119"/>
      <c r="L215" s="120">
        <f t="shared" si="13"/>
        <v>0</v>
      </c>
      <c r="M215" s="109">
        <f t="shared" si="11"/>
        <v>0</v>
      </c>
      <c r="N215" s="42"/>
    </row>
    <row r="216" spans="1:14" ht="19.5" thickBot="1" x14ac:dyDescent="0.3">
      <c r="B216" s="124" t="s">
        <v>167</v>
      </c>
      <c r="C216" s="114" t="s">
        <v>388</v>
      </c>
      <c r="D216" s="119"/>
      <c r="E216" s="119">
        <v>5.61</v>
      </c>
      <c r="F216" s="138">
        <v>6</v>
      </c>
      <c r="G216" s="126" t="e">
        <f>#REF!/(1-0.25)</f>
        <v>#REF!</v>
      </c>
      <c r="H216" s="114">
        <v>83</v>
      </c>
      <c r="I216" s="119"/>
      <c r="J216" s="178"/>
      <c r="K216" s="119"/>
      <c r="L216" s="120">
        <f t="shared" si="13"/>
        <v>83</v>
      </c>
      <c r="M216" s="109">
        <f t="shared" si="11"/>
        <v>465.63000000000005</v>
      </c>
      <c r="N216" s="42"/>
    </row>
    <row r="217" spans="1:14" ht="19.5" thickBot="1" x14ac:dyDescent="0.3">
      <c r="B217" s="124" t="s">
        <v>167</v>
      </c>
      <c r="C217" s="179" t="s">
        <v>161</v>
      </c>
      <c r="D217" s="179"/>
      <c r="E217" s="179">
        <v>5.61</v>
      </c>
      <c r="F217" s="138">
        <v>6.5</v>
      </c>
      <c r="G217" s="137" t="e">
        <f>#REF!/(1-0.25)</f>
        <v>#REF!</v>
      </c>
      <c r="H217" s="179">
        <v>132</v>
      </c>
      <c r="I217" s="119"/>
      <c r="J217" s="178"/>
      <c r="K217" s="173"/>
      <c r="L217" s="120">
        <f>H217-K217</f>
        <v>132</v>
      </c>
      <c r="M217" s="109">
        <f t="shared" si="11"/>
        <v>740.5200000000001</v>
      </c>
      <c r="N217" s="42"/>
    </row>
    <row r="218" spans="1:14" ht="19.5" thickBot="1" x14ac:dyDescent="0.3">
      <c r="B218" s="124" t="s">
        <v>167</v>
      </c>
      <c r="C218" s="179" t="s">
        <v>351</v>
      </c>
      <c r="D218" s="179"/>
      <c r="E218" s="179">
        <v>67.41</v>
      </c>
      <c r="F218" s="138">
        <v>76</v>
      </c>
      <c r="G218" s="167"/>
      <c r="H218" s="179"/>
      <c r="I218" s="119"/>
      <c r="J218" s="178"/>
      <c r="K218" s="173"/>
      <c r="L218" s="120">
        <f t="shared" si="13"/>
        <v>0</v>
      </c>
      <c r="M218" s="109">
        <f t="shared" si="11"/>
        <v>0</v>
      </c>
      <c r="N218" s="42"/>
    </row>
    <row r="219" spans="1:14" ht="19.5" thickBot="1" x14ac:dyDescent="0.3">
      <c r="B219" s="124" t="s">
        <v>167</v>
      </c>
      <c r="C219" s="139" t="s">
        <v>332</v>
      </c>
      <c r="D219" s="119"/>
      <c r="E219" s="119">
        <f>E220/6</f>
        <v>3.6633333333333336</v>
      </c>
      <c r="F219" s="138">
        <v>4.5</v>
      </c>
      <c r="G219" s="126" t="e">
        <f>#REF!/(1-0.25)</f>
        <v>#REF!</v>
      </c>
      <c r="H219" s="114">
        <v>38</v>
      </c>
      <c r="I219" s="119"/>
      <c r="J219" s="178"/>
      <c r="K219" s="119"/>
      <c r="L219" s="120">
        <f t="shared" si="13"/>
        <v>38</v>
      </c>
      <c r="M219" s="109">
        <f t="shared" si="11"/>
        <v>139.20666666666668</v>
      </c>
      <c r="N219" s="42"/>
    </row>
    <row r="220" spans="1:14" ht="19.5" thickBot="1" x14ac:dyDescent="0.3">
      <c r="B220" s="124" t="s">
        <v>167</v>
      </c>
      <c r="C220" s="139" t="s">
        <v>333</v>
      </c>
      <c r="D220" s="156"/>
      <c r="E220" s="156">
        <v>21.98</v>
      </c>
      <c r="F220" s="153">
        <v>27</v>
      </c>
      <c r="G220" s="154"/>
      <c r="H220" s="151">
        <v>4</v>
      </c>
      <c r="I220" s="156"/>
      <c r="J220" s="180"/>
      <c r="K220" s="156">
        <v>1</v>
      </c>
      <c r="L220" s="120">
        <f t="shared" si="13"/>
        <v>3</v>
      </c>
      <c r="M220" s="109">
        <f t="shared" si="11"/>
        <v>65.94</v>
      </c>
      <c r="N220" s="42"/>
    </row>
    <row r="221" spans="1:14" ht="19.5" thickBot="1" x14ac:dyDescent="0.3">
      <c r="B221" s="124" t="s">
        <v>167</v>
      </c>
      <c r="C221" s="151" t="s">
        <v>329</v>
      </c>
      <c r="D221" s="156"/>
      <c r="E221" s="156">
        <f>E222/6</f>
        <v>3.8266666666666667</v>
      </c>
      <c r="F221" s="153">
        <v>4.5</v>
      </c>
      <c r="G221" s="154"/>
      <c r="H221" s="151">
        <v>66</v>
      </c>
      <c r="I221" s="156"/>
      <c r="J221" s="180"/>
      <c r="K221" s="156"/>
      <c r="L221" s="120">
        <f t="shared" si="13"/>
        <v>66</v>
      </c>
      <c r="M221" s="109">
        <f t="shared" si="11"/>
        <v>252.56</v>
      </c>
      <c r="N221" s="42"/>
    </row>
    <row r="222" spans="1:14" ht="19.5" thickBot="1" x14ac:dyDescent="0.3">
      <c r="B222" s="124" t="s">
        <v>167</v>
      </c>
      <c r="C222" s="151" t="s">
        <v>276</v>
      </c>
      <c r="D222" s="156"/>
      <c r="E222" s="156">
        <v>22.96</v>
      </c>
      <c r="F222" s="153">
        <v>27</v>
      </c>
      <c r="G222" s="154" t="e">
        <f>#REF!/(1-0.25)</f>
        <v>#REF!</v>
      </c>
      <c r="H222" s="151"/>
      <c r="I222" s="156"/>
      <c r="J222" s="180"/>
      <c r="K222" s="156"/>
      <c r="L222" s="120">
        <f t="shared" si="13"/>
        <v>0</v>
      </c>
      <c r="M222" s="109">
        <f t="shared" si="11"/>
        <v>0</v>
      </c>
      <c r="N222" s="42"/>
    </row>
    <row r="223" spans="1:14" ht="19.5" thickBot="1" x14ac:dyDescent="0.3">
      <c r="B223" s="124" t="s">
        <v>167</v>
      </c>
      <c r="C223" s="151" t="s">
        <v>277</v>
      </c>
      <c r="D223" s="156"/>
      <c r="E223" s="156">
        <v>0</v>
      </c>
      <c r="F223" s="153">
        <v>18</v>
      </c>
      <c r="G223" s="154" t="e">
        <f>#REF!/(1-0.25)</f>
        <v>#REF!</v>
      </c>
      <c r="H223" s="151">
        <v>0</v>
      </c>
      <c r="I223" s="156"/>
      <c r="J223" s="180"/>
      <c r="K223" s="156"/>
      <c r="L223" s="120">
        <f t="shared" si="13"/>
        <v>0</v>
      </c>
      <c r="M223" s="109">
        <f t="shared" si="11"/>
        <v>0</v>
      </c>
      <c r="N223" s="42"/>
    </row>
    <row r="224" spans="1:14" ht="19.5" thickBot="1" x14ac:dyDescent="0.3">
      <c r="B224" s="124" t="s">
        <v>167</v>
      </c>
      <c r="C224" s="151" t="s">
        <v>334</v>
      </c>
      <c r="D224" s="156"/>
      <c r="E224" s="156">
        <v>0</v>
      </c>
      <c r="F224" s="153">
        <v>5.5</v>
      </c>
      <c r="G224" s="154" t="e">
        <f>#REF!/(1-0.25)</f>
        <v>#REF!</v>
      </c>
      <c r="H224" s="151">
        <v>0</v>
      </c>
      <c r="I224" s="156"/>
      <c r="J224" s="180"/>
      <c r="K224" s="156"/>
      <c r="L224" s="120">
        <f t="shared" si="13"/>
        <v>0</v>
      </c>
      <c r="M224" s="109">
        <f t="shared" si="11"/>
        <v>0</v>
      </c>
      <c r="N224" s="42"/>
    </row>
    <row r="225" spans="2:15" ht="19.5" thickBot="1" x14ac:dyDescent="0.3">
      <c r="B225" s="124" t="s">
        <v>167</v>
      </c>
      <c r="C225" s="151" t="s">
        <v>335</v>
      </c>
      <c r="D225" s="156"/>
      <c r="E225" s="156">
        <v>0</v>
      </c>
      <c r="F225" s="153">
        <v>33</v>
      </c>
      <c r="G225" s="154"/>
      <c r="H225" s="151"/>
      <c r="I225" s="156"/>
      <c r="J225" s="180"/>
      <c r="K225" s="156"/>
      <c r="L225" s="120">
        <f t="shared" si="13"/>
        <v>0</v>
      </c>
      <c r="M225" s="109">
        <f t="shared" si="11"/>
        <v>0</v>
      </c>
      <c r="N225" s="42"/>
    </row>
    <row r="226" spans="2:15" ht="19.5" thickBot="1" x14ac:dyDescent="0.3">
      <c r="B226" s="124" t="s">
        <v>167</v>
      </c>
      <c r="C226" s="151" t="s">
        <v>331</v>
      </c>
      <c r="D226" s="156"/>
      <c r="E226" s="156">
        <f>18/6</f>
        <v>3</v>
      </c>
      <c r="F226" s="153">
        <v>3.5</v>
      </c>
      <c r="G226" s="154"/>
      <c r="H226" s="151">
        <v>58</v>
      </c>
      <c r="I226" s="156"/>
      <c r="J226" s="180"/>
      <c r="K226" s="156"/>
      <c r="L226" s="120">
        <f t="shared" si="13"/>
        <v>58</v>
      </c>
      <c r="M226" s="109">
        <f t="shared" si="11"/>
        <v>174</v>
      </c>
      <c r="N226" s="42"/>
    </row>
    <row r="227" spans="2:15" ht="19.5" thickBot="1" x14ac:dyDescent="0.3">
      <c r="B227" s="124" t="s">
        <v>167</v>
      </c>
      <c r="C227" s="151" t="s">
        <v>279</v>
      </c>
      <c r="D227" s="156"/>
      <c r="E227" s="156">
        <v>18</v>
      </c>
      <c r="F227" s="153">
        <v>21</v>
      </c>
      <c r="G227" s="154" t="e">
        <f>#REF!/(1-0.25)</f>
        <v>#REF!</v>
      </c>
      <c r="H227" s="151"/>
      <c r="I227" s="156"/>
      <c r="J227" s="180"/>
      <c r="K227" s="156"/>
      <c r="L227" s="120">
        <f t="shared" si="13"/>
        <v>0</v>
      </c>
      <c r="M227" s="109">
        <f t="shared" si="11"/>
        <v>0</v>
      </c>
      <c r="N227" s="42"/>
    </row>
    <row r="228" spans="2:15" ht="19.5" thickBot="1" x14ac:dyDescent="0.3">
      <c r="B228" s="124" t="s">
        <v>167</v>
      </c>
      <c r="C228" s="151" t="s">
        <v>327</v>
      </c>
      <c r="D228" s="156"/>
      <c r="E228" s="156">
        <f>E229/6</f>
        <v>3.6633333333333336</v>
      </c>
      <c r="F228" s="153">
        <v>4.5</v>
      </c>
      <c r="G228" s="154" t="e">
        <f>#REF!/(1-0.25)</f>
        <v>#REF!</v>
      </c>
      <c r="H228" s="151">
        <v>27</v>
      </c>
      <c r="I228" s="156"/>
      <c r="J228" s="180"/>
      <c r="K228" s="156"/>
      <c r="L228" s="120">
        <f t="shared" si="13"/>
        <v>27</v>
      </c>
      <c r="M228" s="109">
        <f t="shared" si="11"/>
        <v>98.910000000000011</v>
      </c>
      <c r="N228" s="42"/>
    </row>
    <row r="229" spans="2:15" ht="19.5" thickBot="1" x14ac:dyDescent="0.3">
      <c r="B229" s="124" t="s">
        <v>167</v>
      </c>
      <c r="C229" s="151" t="s">
        <v>281</v>
      </c>
      <c r="D229" s="156"/>
      <c r="E229" s="156">
        <v>21.98</v>
      </c>
      <c r="F229" s="153">
        <v>26</v>
      </c>
      <c r="G229" s="154"/>
      <c r="H229" s="151"/>
      <c r="I229" s="156"/>
      <c r="J229" s="180"/>
      <c r="K229" s="156"/>
      <c r="L229" s="120">
        <f t="shared" si="13"/>
        <v>0</v>
      </c>
      <c r="M229" s="109">
        <f t="shared" si="11"/>
        <v>0</v>
      </c>
      <c r="N229" s="42"/>
    </row>
    <row r="230" spans="2:15" ht="19.5" thickBot="1" x14ac:dyDescent="0.3">
      <c r="B230" s="124" t="s">
        <v>167</v>
      </c>
      <c r="C230" s="151" t="s">
        <v>344</v>
      </c>
      <c r="D230" s="156"/>
      <c r="E230" s="156">
        <f>64.41/12</f>
        <v>5.3674999999999997</v>
      </c>
      <c r="F230" s="153">
        <v>24</v>
      </c>
      <c r="G230" s="154" t="e">
        <f>#REF!/(1-0.25)</f>
        <v>#REF!</v>
      </c>
      <c r="H230" s="151">
        <v>233</v>
      </c>
      <c r="I230" s="156"/>
      <c r="J230" s="180"/>
      <c r="K230" s="156"/>
      <c r="L230" s="120">
        <f t="shared" si="13"/>
        <v>233</v>
      </c>
      <c r="M230" s="109">
        <f t="shared" si="11"/>
        <v>1250.6274999999998</v>
      </c>
      <c r="N230" s="42"/>
    </row>
    <row r="231" spans="2:15" ht="19.5" thickBot="1" x14ac:dyDescent="0.3">
      <c r="B231" s="124" t="s">
        <v>268</v>
      </c>
      <c r="C231" s="151" t="s">
        <v>269</v>
      </c>
      <c r="D231" s="156"/>
      <c r="E231" s="156">
        <v>9.11</v>
      </c>
      <c r="F231" s="153">
        <v>12</v>
      </c>
      <c r="G231" s="154"/>
      <c r="H231" s="151">
        <v>3</v>
      </c>
      <c r="I231" s="156"/>
      <c r="J231" s="180"/>
      <c r="K231" s="156"/>
      <c r="L231" s="120">
        <f t="shared" si="13"/>
        <v>3</v>
      </c>
      <c r="M231" s="109">
        <f t="shared" si="11"/>
        <v>27.33</v>
      </c>
      <c r="N231" s="42"/>
    </row>
    <row r="232" spans="2:15" ht="19.5" thickBot="1" x14ac:dyDescent="0.3">
      <c r="B232" s="124" t="s">
        <v>268</v>
      </c>
      <c r="C232" s="151" t="s">
        <v>270</v>
      </c>
      <c r="D232" s="156"/>
      <c r="E232" s="156">
        <v>9.11</v>
      </c>
      <c r="F232" s="153">
        <v>12</v>
      </c>
      <c r="G232" s="154"/>
      <c r="H232" s="151">
        <v>7</v>
      </c>
      <c r="I232" s="156"/>
      <c r="J232" s="180"/>
      <c r="K232" s="156"/>
      <c r="L232" s="120">
        <f t="shared" si="13"/>
        <v>7</v>
      </c>
      <c r="M232" s="109">
        <f t="shared" si="11"/>
        <v>63.769999999999996</v>
      </c>
      <c r="N232" s="42"/>
    </row>
    <row r="233" spans="2:15" ht="19.5" thickBot="1" x14ac:dyDescent="0.3">
      <c r="B233" s="124" t="s">
        <v>268</v>
      </c>
      <c r="C233" s="151" t="s">
        <v>271</v>
      </c>
      <c r="D233" s="156"/>
      <c r="E233" s="156">
        <v>9.11</v>
      </c>
      <c r="F233" s="153">
        <v>12</v>
      </c>
      <c r="G233" s="154"/>
      <c r="H233" s="151">
        <v>1</v>
      </c>
      <c r="I233" s="156"/>
      <c r="J233" s="180"/>
      <c r="K233" s="156"/>
      <c r="L233" s="120">
        <f t="shared" si="13"/>
        <v>1</v>
      </c>
      <c r="M233" s="109">
        <f t="shared" si="11"/>
        <v>9.11</v>
      </c>
      <c r="N233" s="42"/>
    </row>
    <row r="234" spans="2:15" ht="19.5" thickBot="1" x14ac:dyDescent="0.3">
      <c r="B234" s="124" t="s">
        <v>268</v>
      </c>
      <c r="C234" s="151" t="s">
        <v>272</v>
      </c>
      <c r="D234" s="156"/>
      <c r="E234" s="156">
        <v>9.11</v>
      </c>
      <c r="F234" s="153">
        <v>12</v>
      </c>
      <c r="G234" s="154"/>
      <c r="H234" s="151">
        <v>1</v>
      </c>
      <c r="I234" s="156"/>
      <c r="J234" s="180"/>
      <c r="K234" s="156"/>
      <c r="L234" s="120">
        <f t="shared" si="13"/>
        <v>1</v>
      </c>
      <c r="M234" s="109">
        <f t="shared" si="11"/>
        <v>9.11</v>
      </c>
      <c r="N234" s="42"/>
    </row>
    <row r="235" spans="2:15" ht="19.5" thickBot="1" x14ac:dyDescent="0.3">
      <c r="B235" s="124" t="s">
        <v>268</v>
      </c>
      <c r="C235" s="151" t="s">
        <v>273</v>
      </c>
      <c r="D235" s="156"/>
      <c r="E235" s="156">
        <v>9.11</v>
      </c>
      <c r="F235" s="153">
        <v>12</v>
      </c>
      <c r="G235" s="154"/>
      <c r="H235" s="151">
        <v>4</v>
      </c>
      <c r="I235" s="156"/>
      <c r="J235" s="180"/>
      <c r="K235" s="156"/>
      <c r="L235" s="120">
        <f t="shared" si="13"/>
        <v>4</v>
      </c>
      <c r="M235" s="109">
        <f t="shared" si="11"/>
        <v>36.44</v>
      </c>
      <c r="N235" s="42"/>
      <c r="O235">
        <v>3</v>
      </c>
    </row>
    <row r="236" spans="2:15" ht="19.5" thickBot="1" x14ac:dyDescent="0.3">
      <c r="B236" s="124" t="s">
        <v>268</v>
      </c>
      <c r="C236" s="151" t="s">
        <v>274</v>
      </c>
      <c r="D236" s="156"/>
      <c r="E236" s="156">
        <v>9.11</v>
      </c>
      <c r="F236" s="153">
        <v>12</v>
      </c>
      <c r="G236" s="154"/>
      <c r="H236" s="151">
        <v>10</v>
      </c>
      <c r="I236" s="156"/>
      <c r="J236" s="180"/>
      <c r="K236" s="156"/>
      <c r="L236" s="120">
        <f t="shared" si="13"/>
        <v>10</v>
      </c>
      <c r="M236" s="109">
        <f t="shared" si="11"/>
        <v>91.1</v>
      </c>
      <c r="N236" s="42"/>
    </row>
    <row r="237" spans="2:15" ht="19.5" thickBot="1" x14ac:dyDescent="0.3">
      <c r="B237" s="124" t="s">
        <v>167</v>
      </c>
      <c r="C237" s="159" t="s">
        <v>180</v>
      </c>
      <c r="D237" s="156"/>
      <c r="E237" s="156">
        <v>4</v>
      </c>
      <c r="F237" s="153">
        <v>5</v>
      </c>
      <c r="G237" s="154" t="e">
        <f>#REF!/(1-0.25)</f>
        <v>#REF!</v>
      </c>
      <c r="H237" s="151">
        <v>733</v>
      </c>
      <c r="I237" s="156"/>
      <c r="J237" s="180"/>
      <c r="K237" s="156"/>
      <c r="L237" s="120">
        <f t="shared" si="13"/>
        <v>733</v>
      </c>
      <c r="M237" s="109">
        <f t="shared" si="11"/>
        <v>2932</v>
      </c>
      <c r="N237" s="42"/>
    </row>
    <row r="238" spans="2:15" ht="19.5" thickBot="1" x14ac:dyDescent="0.3">
      <c r="B238" s="124" t="s">
        <v>167</v>
      </c>
      <c r="C238" s="159" t="s">
        <v>328</v>
      </c>
      <c r="D238" s="156"/>
      <c r="E238" s="156">
        <v>22.5</v>
      </c>
      <c r="F238" s="153">
        <v>30</v>
      </c>
      <c r="G238" s="154"/>
      <c r="H238" s="151"/>
      <c r="I238" s="156"/>
      <c r="J238" s="180"/>
      <c r="K238" s="156"/>
      <c r="L238" s="120">
        <f t="shared" si="13"/>
        <v>0</v>
      </c>
      <c r="M238" s="109">
        <f t="shared" si="11"/>
        <v>0</v>
      </c>
      <c r="N238" s="42"/>
    </row>
    <row r="239" spans="2:15" x14ac:dyDescent="0.25">
      <c r="B239" s="151" t="s">
        <v>167</v>
      </c>
      <c r="C239" s="151" t="s">
        <v>330</v>
      </c>
      <c r="D239" s="156"/>
      <c r="E239" s="156">
        <v>21.98</v>
      </c>
      <c r="F239" s="153">
        <v>27</v>
      </c>
      <c r="G239" s="154"/>
      <c r="H239" s="151"/>
      <c r="I239" s="156"/>
      <c r="J239" s="180"/>
      <c r="K239" s="156"/>
      <c r="L239" s="120">
        <f t="shared" si="13"/>
        <v>0</v>
      </c>
      <c r="M239" s="109">
        <f t="shared" si="11"/>
        <v>0</v>
      </c>
      <c r="N239" s="42"/>
    </row>
    <row r="240" spans="2:15" ht="19.5" thickBot="1" x14ac:dyDescent="0.3">
      <c r="B240" s="151" t="s">
        <v>167</v>
      </c>
      <c r="C240" s="151" t="s">
        <v>165</v>
      </c>
      <c r="D240" s="156"/>
      <c r="E240" s="156">
        <f>E239/6</f>
        <v>3.6633333333333336</v>
      </c>
      <c r="F240" s="153">
        <v>4.5</v>
      </c>
      <c r="G240" s="154" t="e">
        <f>#REF!/(1-0.25)</f>
        <v>#REF!</v>
      </c>
      <c r="H240" s="151">
        <v>192</v>
      </c>
      <c r="I240" s="156"/>
      <c r="J240" s="180"/>
      <c r="K240" s="156"/>
      <c r="L240" s="120">
        <f t="shared" si="13"/>
        <v>192</v>
      </c>
      <c r="M240" s="109">
        <f t="shared" si="11"/>
        <v>703.36</v>
      </c>
      <c r="N240" s="42"/>
    </row>
    <row r="241" spans="1:14" x14ac:dyDescent="0.25">
      <c r="B241" s="181" t="s">
        <v>254</v>
      </c>
      <c r="C241" s="182" t="s">
        <v>255</v>
      </c>
      <c r="D241" s="183"/>
      <c r="E241" s="184"/>
      <c r="F241" s="185">
        <v>6</v>
      </c>
      <c r="G241" s="183" t="e">
        <f>#REF!/(1-0.25)</f>
        <v>#REF!</v>
      </c>
      <c r="H241" s="183">
        <v>0</v>
      </c>
      <c r="I241" s="183"/>
      <c r="J241" s="183"/>
      <c r="K241" s="183"/>
      <c r="L241" s="120">
        <f t="shared" si="13"/>
        <v>0</v>
      </c>
      <c r="M241" s="109">
        <f t="shared" si="11"/>
        <v>0</v>
      </c>
      <c r="N241" s="42"/>
    </row>
    <row r="242" spans="1:14" x14ac:dyDescent="0.25">
      <c r="B242" s="186" t="s">
        <v>254</v>
      </c>
      <c r="C242" s="114" t="s">
        <v>256</v>
      </c>
      <c r="D242" s="119"/>
      <c r="E242" s="156"/>
      <c r="F242" s="153">
        <v>2.5</v>
      </c>
      <c r="G242" s="119" t="e">
        <f>#REF!/(1-0.25)</f>
        <v>#REF!</v>
      </c>
      <c r="H242" s="119">
        <v>0</v>
      </c>
      <c r="I242" s="119"/>
      <c r="J242" s="119"/>
      <c r="K242" s="119"/>
      <c r="L242" s="120">
        <f t="shared" si="13"/>
        <v>0</v>
      </c>
      <c r="M242" s="109">
        <f t="shared" si="11"/>
        <v>0</v>
      </c>
      <c r="N242" s="42"/>
    </row>
    <row r="243" spans="1:14" x14ac:dyDescent="0.25">
      <c r="B243" s="186" t="s">
        <v>254</v>
      </c>
      <c r="C243" s="114" t="s">
        <v>375</v>
      </c>
      <c r="D243" s="119"/>
      <c r="E243" s="156">
        <v>1.1100000000000001</v>
      </c>
      <c r="F243" s="153">
        <v>1.3</v>
      </c>
      <c r="G243" s="119"/>
      <c r="H243" s="119">
        <v>11</v>
      </c>
      <c r="I243" s="119"/>
      <c r="J243" s="119"/>
      <c r="K243" s="119"/>
      <c r="L243" s="120">
        <f t="shared" si="13"/>
        <v>11</v>
      </c>
      <c r="M243" s="109">
        <f t="shared" si="11"/>
        <v>12.21</v>
      </c>
      <c r="N243" s="42"/>
    </row>
    <row r="244" spans="1:14" x14ac:dyDescent="0.25">
      <c r="B244" s="186" t="s">
        <v>254</v>
      </c>
      <c r="C244" s="114" t="s">
        <v>374</v>
      </c>
      <c r="D244" s="119"/>
      <c r="E244" s="156">
        <v>1.1100000000000001</v>
      </c>
      <c r="F244" s="153">
        <v>1.3</v>
      </c>
      <c r="G244" s="119" t="e">
        <f>#REF!/(1-0.25)</f>
        <v>#REF!</v>
      </c>
      <c r="H244" s="119">
        <v>10</v>
      </c>
      <c r="I244" s="119"/>
      <c r="J244" s="119"/>
      <c r="K244" s="119"/>
      <c r="L244" s="120">
        <f t="shared" si="13"/>
        <v>10</v>
      </c>
      <c r="M244" s="109">
        <f t="shared" si="11"/>
        <v>11.100000000000001</v>
      </c>
      <c r="N244" s="42"/>
    </row>
    <row r="245" spans="1:14" x14ac:dyDescent="0.25">
      <c r="B245" s="186" t="s">
        <v>254</v>
      </c>
      <c r="C245" s="114" t="s">
        <v>258</v>
      </c>
      <c r="D245" s="119"/>
      <c r="E245" s="156">
        <f>28/4</f>
        <v>7</v>
      </c>
      <c r="F245" s="153">
        <v>9</v>
      </c>
      <c r="G245" s="119" t="e">
        <f>#REF!/(1-0.25)</f>
        <v>#REF!</v>
      </c>
      <c r="H245" s="119">
        <v>5</v>
      </c>
      <c r="I245" s="119"/>
      <c r="J245" s="119"/>
      <c r="K245" s="119"/>
      <c r="L245" s="120">
        <f t="shared" si="13"/>
        <v>5</v>
      </c>
      <c r="M245" s="109">
        <f t="shared" si="11"/>
        <v>35</v>
      </c>
      <c r="N245" s="42"/>
    </row>
    <row r="246" spans="1:14" x14ac:dyDescent="0.25">
      <c r="B246" s="186" t="s">
        <v>254</v>
      </c>
      <c r="C246" s="114" t="s">
        <v>259</v>
      </c>
      <c r="D246" s="119"/>
      <c r="E246" s="156">
        <f>47.2/16</f>
        <v>2.95</v>
      </c>
      <c r="F246" s="153">
        <v>3.3</v>
      </c>
      <c r="G246" s="119" t="e">
        <f>#REF!/(1-0.25)</f>
        <v>#REF!</v>
      </c>
      <c r="H246" s="119">
        <v>7</v>
      </c>
      <c r="I246" s="119"/>
      <c r="J246" s="119"/>
      <c r="K246" s="119"/>
      <c r="L246" s="120">
        <f t="shared" si="13"/>
        <v>7</v>
      </c>
      <c r="M246" s="109">
        <f t="shared" si="11"/>
        <v>20.650000000000002</v>
      </c>
      <c r="N246" s="42"/>
    </row>
    <row r="247" spans="1:14" s="34" customFormat="1" x14ac:dyDescent="0.25">
      <c r="B247" s="186" t="s">
        <v>254</v>
      </c>
      <c r="C247" s="114" t="s">
        <v>315</v>
      </c>
      <c r="D247" s="187"/>
      <c r="E247" s="188">
        <v>7</v>
      </c>
      <c r="F247" s="153">
        <v>9</v>
      </c>
      <c r="G247" s="187" t="e">
        <f>#REF!/(1-0.25)</f>
        <v>#REF!</v>
      </c>
      <c r="H247" s="187">
        <v>14</v>
      </c>
      <c r="I247" s="187"/>
      <c r="J247" s="187"/>
      <c r="K247" s="187"/>
      <c r="L247" s="120">
        <f t="shared" si="13"/>
        <v>14</v>
      </c>
      <c r="M247" s="109">
        <f t="shared" si="11"/>
        <v>98</v>
      </c>
      <c r="N247" s="42"/>
    </row>
    <row r="248" spans="1:14" s="34" customFormat="1" x14ac:dyDescent="0.25">
      <c r="A248" s="34">
        <f>100-13</f>
        <v>87</v>
      </c>
      <c r="B248" s="186" t="s">
        <v>254</v>
      </c>
      <c r="C248" s="114" t="s">
        <v>260</v>
      </c>
      <c r="D248" s="187"/>
      <c r="E248" s="188">
        <f>25.5/10</f>
        <v>2.5499999999999998</v>
      </c>
      <c r="F248" s="153">
        <v>2.8</v>
      </c>
      <c r="G248" s="187"/>
      <c r="H248" s="187">
        <v>6</v>
      </c>
      <c r="I248" s="187"/>
      <c r="J248" s="187"/>
      <c r="K248" s="187"/>
      <c r="L248" s="120">
        <f t="shared" si="13"/>
        <v>6</v>
      </c>
      <c r="M248" s="109">
        <f t="shared" si="11"/>
        <v>15.299999999999999</v>
      </c>
      <c r="N248" s="42"/>
    </row>
    <row r="249" spans="1:14" s="34" customFormat="1" x14ac:dyDescent="0.25">
      <c r="B249" s="186" t="s">
        <v>254</v>
      </c>
      <c r="C249" s="114" t="s">
        <v>317</v>
      </c>
      <c r="D249" s="187"/>
      <c r="E249" s="188">
        <f>10.08/12</f>
        <v>0.84</v>
      </c>
      <c r="F249" s="153">
        <v>1</v>
      </c>
      <c r="G249" s="187"/>
      <c r="H249" s="187">
        <v>12</v>
      </c>
      <c r="I249" s="187"/>
      <c r="J249" s="187"/>
      <c r="K249" s="187"/>
      <c r="L249" s="120">
        <f t="shared" si="13"/>
        <v>12</v>
      </c>
      <c r="M249" s="109">
        <f t="shared" si="11"/>
        <v>10.08</v>
      </c>
      <c r="N249" s="42"/>
    </row>
    <row r="250" spans="1:14" s="34" customFormat="1" x14ac:dyDescent="0.25">
      <c r="B250" s="186" t="s">
        <v>254</v>
      </c>
      <c r="C250" s="114" t="s">
        <v>262</v>
      </c>
      <c r="D250" s="187"/>
      <c r="E250" s="188">
        <f>21/3</f>
        <v>7</v>
      </c>
      <c r="F250" s="153">
        <v>9</v>
      </c>
      <c r="G250" s="187"/>
      <c r="H250" s="187">
        <v>6</v>
      </c>
      <c r="I250" s="187"/>
      <c r="J250" s="187"/>
      <c r="K250" s="187"/>
      <c r="L250" s="120">
        <f t="shared" si="13"/>
        <v>6</v>
      </c>
      <c r="M250" s="109">
        <f t="shared" si="11"/>
        <v>42</v>
      </c>
      <c r="N250" s="42"/>
    </row>
    <row r="251" spans="1:14" s="34" customFormat="1" x14ac:dyDescent="0.25">
      <c r="B251" s="186" t="s">
        <v>254</v>
      </c>
      <c r="C251" s="114" t="s">
        <v>316</v>
      </c>
      <c r="D251" s="187"/>
      <c r="E251" s="188">
        <f>17.2/10</f>
        <v>1.72</v>
      </c>
      <c r="F251" s="153">
        <v>2</v>
      </c>
      <c r="G251" s="187"/>
      <c r="H251" s="187">
        <v>15</v>
      </c>
      <c r="I251" s="187"/>
      <c r="J251" s="187"/>
      <c r="K251" s="187"/>
      <c r="L251" s="120">
        <f t="shared" si="13"/>
        <v>15</v>
      </c>
      <c r="M251" s="109">
        <f t="shared" si="11"/>
        <v>25.8</v>
      </c>
      <c r="N251" s="42"/>
    </row>
    <row r="252" spans="1:14" s="35" customFormat="1" x14ac:dyDescent="0.25">
      <c r="B252" s="186" t="s">
        <v>254</v>
      </c>
      <c r="C252" s="114" t="s">
        <v>263</v>
      </c>
      <c r="D252" s="189"/>
      <c r="E252" s="190"/>
      <c r="F252" s="153">
        <v>3</v>
      </c>
      <c r="G252" s="189"/>
      <c r="H252" s="187">
        <v>0</v>
      </c>
      <c r="I252" s="189"/>
      <c r="J252" s="189"/>
      <c r="K252" s="189"/>
      <c r="L252" s="120">
        <f t="shared" si="13"/>
        <v>0</v>
      </c>
      <c r="M252" s="109">
        <f t="shared" si="11"/>
        <v>0</v>
      </c>
      <c r="N252" s="42"/>
    </row>
    <row r="253" spans="1:14" s="35" customFormat="1" x14ac:dyDescent="0.25">
      <c r="B253" s="186" t="s">
        <v>254</v>
      </c>
      <c r="C253" s="114" t="s">
        <v>264</v>
      </c>
      <c r="D253" s="189"/>
      <c r="E253" s="190"/>
      <c r="F253" s="153">
        <v>7</v>
      </c>
      <c r="G253" s="189"/>
      <c r="H253" s="187">
        <v>0</v>
      </c>
      <c r="I253" s="189"/>
      <c r="J253" s="189"/>
      <c r="K253" s="189"/>
      <c r="L253" s="120">
        <f t="shared" si="13"/>
        <v>0</v>
      </c>
      <c r="M253" s="109">
        <f t="shared" si="11"/>
        <v>0</v>
      </c>
      <c r="N253" s="42"/>
    </row>
    <row r="254" spans="1:14" s="35" customFormat="1" x14ac:dyDescent="0.25">
      <c r="B254" s="186" t="s">
        <v>254</v>
      </c>
      <c r="C254" s="114" t="s">
        <v>389</v>
      </c>
      <c r="D254" s="189"/>
      <c r="E254" s="190">
        <v>0.84</v>
      </c>
      <c r="F254" s="153">
        <v>1</v>
      </c>
      <c r="G254" s="189"/>
      <c r="H254" s="187">
        <v>15</v>
      </c>
      <c r="I254" s="189"/>
      <c r="J254" s="189"/>
      <c r="K254" s="189"/>
      <c r="L254" s="120">
        <f t="shared" si="13"/>
        <v>15</v>
      </c>
      <c r="M254" s="109">
        <f t="shared" si="11"/>
        <v>12.6</v>
      </c>
      <c r="N254" s="42"/>
    </row>
    <row r="255" spans="1:14" s="35" customFormat="1" x14ac:dyDescent="0.25">
      <c r="B255" s="186" t="s">
        <v>254</v>
      </c>
      <c r="C255" s="114" t="s">
        <v>266</v>
      </c>
      <c r="D255" s="189"/>
      <c r="E255" s="190">
        <v>0.84</v>
      </c>
      <c r="F255" s="153">
        <v>1.3</v>
      </c>
      <c r="G255" s="189"/>
      <c r="H255" s="187">
        <v>12</v>
      </c>
      <c r="I255" s="189"/>
      <c r="J255" s="189"/>
      <c r="K255" s="187"/>
      <c r="L255" s="120">
        <f t="shared" si="13"/>
        <v>12</v>
      </c>
      <c r="M255" s="109">
        <f t="shared" si="11"/>
        <v>10.08</v>
      </c>
      <c r="N255" s="42"/>
    </row>
    <row r="256" spans="1:14" s="35" customFormat="1" x14ac:dyDescent="0.25">
      <c r="B256" s="191" t="s">
        <v>254</v>
      </c>
      <c r="C256" s="151" t="s">
        <v>275</v>
      </c>
      <c r="D256" s="190"/>
      <c r="E256" s="190">
        <v>0</v>
      </c>
      <c r="F256" s="153">
        <v>4.5</v>
      </c>
      <c r="G256" s="190"/>
      <c r="H256" s="188">
        <v>0</v>
      </c>
      <c r="I256" s="190"/>
      <c r="J256" s="190"/>
      <c r="K256" s="190"/>
      <c r="L256" s="120">
        <f t="shared" si="13"/>
        <v>0</v>
      </c>
      <c r="M256" s="109">
        <f t="shared" si="11"/>
        <v>0</v>
      </c>
      <c r="N256" s="42"/>
    </row>
    <row r="257" spans="2:14" s="35" customFormat="1" x14ac:dyDescent="0.25">
      <c r="B257" s="114" t="s">
        <v>254</v>
      </c>
      <c r="C257" s="114" t="s">
        <v>286</v>
      </c>
      <c r="D257" s="189"/>
      <c r="E257" s="189">
        <v>0</v>
      </c>
      <c r="F257" s="138">
        <v>10.5</v>
      </c>
      <c r="G257" s="189"/>
      <c r="H257" s="187">
        <v>0</v>
      </c>
      <c r="I257" s="189"/>
      <c r="J257" s="189"/>
      <c r="K257" s="189"/>
      <c r="L257" s="120">
        <f t="shared" si="13"/>
        <v>0</v>
      </c>
      <c r="M257" s="109">
        <f t="shared" si="11"/>
        <v>0</v>
      </c>
      <c r="N257" s="42"/>
    </row>
    <row r="258" spans="2:14" s="35" customFormat="1" x14ac:dyDescent="0.25">
      <c r="B258" s="114" t="s">
        <v>353</v>
      </c>
      <c r="C258" s="114" t="s">
        <v>354</v>
      </c>
      <c r="D258" s="189"/>
      <c r="E258" s="189">
        <v>1.3</v>
      </c>
      <c r="F258" s="138">
        <v>1.5</v>
      </c>
      <c r="G258" s="189"/>
      <c r="H258" s="187">
        <v>13</v>
      </c>
      <c r="I258" s="189"/>
      <c r="J258" s="189"/>
      <c r="K258" s="189"/>
      <c r="L258" s="120">
        <f t="shared" si="13"/>
        <v>13</v>
      </c>
      <c r="M258" s="109">
        <f t="shared" si="11"/>
        <v>16.900000000000002</v>
      </c>
      <c r="N258" s="42"/>
    </row>
    <row r="259" spans="2:14" s="35" customFormat="1" x14ac:dyDescent="0.25">
      <c r="B259" s="114" t="s">
        <v>352</v>
      </c>
      <c r="C259" s="114" t="s">
        <v>355</v>
      </c>
      <c r="D259" s="189"/>
      <c r="E259" s="189">
        <v>0.38</v>
      </c>
      <c r="F259" s="138">
        <v>0.5</v>
      </c>
      <c r="G259" s="189"/>
      <c r="H259" s="187">
        <v>35</v>
      </c>
      <c r="I259" s="189"/>
      <c r="J259" s="189"/>
      <c r="K259" s="189">
        <v>3</v>
      </c>
      <c r="L259" s="120">
        <f>H259-K259</f>
        <v>32</v>
      </c>
      <c r="M259" s="109">
        <f t="shared" si="11"/>
        <v>12.16</v>
      </c>
      <c r="N259" s="42"/>
    </row>
    <row r="260" spans="2:14" s="35" customFormat="1" x14ac:dyDescent="0.25">
      <c r="B260" s="114" t="s">
        <v>352</v>
      </c>
      <c r="C260" s="114" t="s">
        <v>356</v>
      </c>
      <c r="D260" s="189"/>
      <c r="E260" s="189">
        <v>1.2</v>
      </c>
      <c r="F260" s="138">
        <v>1.5</v>
      </c>
      <c r="G260" s="189"/>
      <c r="H260" s="187">
        <f>12+5</f>
        <v>17</v>
      </c>
      <c r="I260" s="189"/>
      <c r="J260" s="189"/>
      <c r="K260" s="189"/>
      <c r="L260" s="120">
        <f t="shared" si="13"/>
        <v>17</v>
      </c>
      <c r="M260" s="109">
        <f t="shared" si="11"/>
        <v>20.399999999999999</v>
      </c>
      <c r="N260" s="42"/>
    </row>
    <row r="261" spans="2:14" s="35" customFormat="1" x14ac:dyDescent="0.25">
      <c r="B261" s="114" t="s">
        <v>352</v>
      </c>
      <c r="C261" s="114" t="s">
        <v>357</v>
      </c>
      <c r="D261" s="189"/>
      <c r="E261" s="189">
        <v>1.2</v>
      </c>
      <c r="F261" s="138">
        <v>1.5</v>
      </c>
      <c r="G261" s="189"/>
      <c r="H261" s="187">
        <v>17</v>
      </c>
      <c r="I261" s="189"/>
      <c r="J261" s="189"/>
      <c r="K261" s="189"/>
      <c r="L261" s="120">
        <f t="shared" si="13"/>
        <v>17</v>
      </c>
      <c r="M261" s="109">
        <f t="shared" ref="M261:M274" si="14">E261*L261</f>
        <v>20.399999999999999</v>
      </c>
      <c r="N261" s="42"/>
    </row>
    <row r="262" spans="2:14" s="35" customFormat="1" x14ac:dyDescent="0.25">
      <c r="B262" s="114" t="s">
        <v>352</v>
      </c>
      <c r="C262" s="114" t="s">
        <v>358</v>
      </c>
      <c r="D262" s="189"/>
      <c r="E262" s="189">
        <v>1.2</v>
      </c>
      <c r="F262" s="138">
        <v>1.5</v>
      </c>
      <c r="G262" s="189"/>
      <c r="H262" s="187">
        <v>23</v>
      </c>
      <c r="I262" s="189"/>
      <c r="J262" s="189"/>
      <c r="K262" s="189"/>
      <c r="L262" s="120">
        <f t="shared" si="13"/>
        <v>23</v>
      </c>
      <c r="M262" s="109">
        <f t="shared" si="14"/>
        <v>27.599999999999998</v>
      </c>
      <c r="N262" s="42"/>
    </row>
    <row r="263" spans="2:14" s="35" customFormat="1" x14ac:dyDescent="0.25">
      <c r="B263" s="114" t="s">
        <v>352</v>
      </c>
      <c r="C263" s="114" t="s">
        <v>359</v>
      </c>
      <c r="D263" s="189"/>
      <c r="E263" s="189">
        <v>1.2</v>
      </c>
      <c r="F263" s="138">
        <v>1.5</v>
      </c>
      <c r="G263" s="189"/>
      <c r="H263" s="187">
        <v>12</v>
      </c>
      <c r="I263" s="189"/>
      <c r="J263" s="189"/>
      <c r="K263" s="189"/>
      <c r="L263" s="120">
        <f t="shared" si="13"/>
        <v>12</v>
      </c>
      <c r="M263" s="109">
        <f t="shared" si="14"/>
        <v>14.399999999999999</v>
      </c>
      <c r="N263" s="42"/>
    </row>
    <row r="264" spans="2:14" s="35" customFormat="1" x14ac:dyDescent="0.25">
      <c r="B264" s="114" t="s">
        <v>352</v>
      </c>
      <c r="C264" s="114" t="s">
        <v>390</v>
      </c>
      <c r="D264" s="189"/>
      <c r="E264" s="189">
        <v>0.2</v>
      </c>
      <c r="F264" s="138">
        <v>0.3</v>
      </c>
      <c r="G264" s="189"/>
      <c r="H264" s="187">
        <v>56</v>
      </c>
      <c r="I264" s="189"/>
      <c r="J264" s="189"/>
      <c r="K264" s="189"/>
      <c r="L264" s="120">
        <f t="shared" si="13"/>
        <v>56</v>
      </c>
      <c r="M264" s="109">
        <f t="shared" si="14"/>
        <v>11.200000000000001</v>
      </c>
      <c r="N264" s="42"/>
    </row>
    <row r="265" spans="2:14" s="35" customFormat="1" x14ac:dyDescent="0.25">
      <c r="B265" s="114"/>
      <c r="C265" s="114" t="s">
        <v>391</v>
      </c>
      <c r="D265" s="189"/>
      <c r="E265" s="189">
        <v>0.2</v>
      </c>
      <c r="F265" s="138">
        <v>18</v>
      </c>
      <c r="G265" s="189"/>
      <c r="H265" s="187">
        <v>1</v>
      </c>
      <c r="I265" s="189"/>
      <c r="J265" s="189"/>
      <c r="K265" s="189"/>
      <c r="L265" s="120">
        <f t="shared" si="13"/>
        <v>1</v>
      </c>
      <c r="M265" s="109">
        <f t="shared" si="14"/>
        <v>0.2</v>
      </c>
      <c r="N265" s="42"/>
    </row>
    <row r="266" spans="2:14" s="35" customFormat="1" x14ac:dyDescent="0.25">
      <c r="B266" s="114" t="s">
        <v>352</v>
      </c>
      <c r="C266" s="114" t="s">
        <v>360</v>
      </c>
      <c r="D266" s="189"/>
      <c r="E266" s="189">
        <v>1.2</v>
      </c>
      <c r="F266" s="138">
        <v>1.5</v>
      </c>
      <c r="G266" s="189"/>
      <c r="H266" s="187">
        <v>12</v>
      </c>
      <c r="I266" s="189"/>
      <c r="J266" s="189"/>
      <c r="K266" s="189"/>
      <c r="L266" s="120">
        <f>H266-K266</f>
        <v>12</v>
      </c>
      <c r="M266" s="109">
        <f t="shared" si="14"/>
        <v>14.399999999999999</v>
      </c>
      <c r="N266" s="42"/>
    </row>
    <row r="267" spans="2:14" s="35" customFormat="1" x14ac:dyDescent="0.25">
      <c r="B267" s="114" t="s">
        <v>352</v>
      </c>
      <c r="C267" s="114" t="s">
        <v>365</v>
      </c>
      <c r="D267" s="189"/>
      <c r="E267" s="189">
        <v>1.3</v>
      </c>
      <c r="F267" s="138">
        <v>1.5</v>
      </c>
      <c r="G267" s="189"/>
      <c r="H267" s="187">
        <v>19</v>
      </c>
      <c r="I267" s="189"/>
      <c r="J267" s="189"/>
      <c r="K267" s="189"/>
      <c r="L267" s="120">
        <f>H267-K267</f>
        <v>19</v>
      </c>
      <c r="M267" s="109">
        <f t="shared" si="14"/>
        <v>24.7</v>
      </c>
      <c r="N267" s="42"/>
    </row>
    <row r="268" spans="2:14" s="35" customFormat="1" x14ac:dyDescent="0.25">
      <c r="B268" s="114" t="s">
        <v>352</v>
      </c>
      <c r="C268" s="114" t="s">
        <v>366</v>
      </c>
      <c r="D268" s="189"/>
      <c r="E268" s="189">
        <v>1.3</v>
      </c>
      <c r="F268" s="138">
        <v>1.5</v>
      </c>
      <c r="G268" s="189"/>
      <c r="H268" s="187">
        <v>15</v>
      </c>
      <c r="I268" s="189"/>
      <c r="J268" s="189"/>
      <c r="K268" s="189"/>
      <c r="L268" s="120">
        <f t="shared" si="13"/>
        <v>15</v>
      </c>
      <c r="M268" s="109">
        <f t="shared" si="14"/>
        <v>19.5</v>
      </c>
      <c r="N268" s="42"/>
    </row>
    <row r="269" spans="2:14" s="35" customFormat="1" x14ac:dyDescent="0.25">
      <c r="B269" s="114" t="s">
        <v>352</v>
      </c>
      <c r="C269" s="114" t="s">
        <v>367</v>
      </c>
      <c r="D269" s="189"/>
      <c r="E269" s="189">
        <v>0.69</v>
      </c>
      <c r="F269" s="138">
        <v>1</v>
      </c>
      <c r="G269" s="189"/>
      <c r="H269" s="187">
        <v>18</v>
      </c>
      <c r="I269" s="189"/>
      <c r="J269" s="189"/>
      <c r="K269" s="189"/>
      <c r="L269" s="120">
        <f>H269-K269</f>
        <v>18</v>
      </c>
      <c r="M269" s="109">
        <f t="shared" si="14"/>
        <v>12.419999999999998</v>
      </c>
      <c r="N269" s="42"/>
    </row>
    <row r="270" spans="2:14" s="35" customFormat="1" x14ac:dyDescent="0.25">
      <c r="B270" s="114" t="s">
        <v>352</v>
      </c>
      <c r="C270" s="114" t="s">
        <v>364</v>
      </c>
      <c r="D270" s="189"/>
      <c r="E270" s="189">
        <v>1.2</v>
      </c>
      <c r="F270" s="138">
        <v>1.5</v>
      </c>
      <c r="G270" s="189"/>
      <c r="H270" s="187">
        <v>8</v>
      </c>
      <c r="I270" s="189"/>
      <c r="J270" s="189"/>
      <c r="K270" s="189"/>
      <c r="L270" s="120">
        <f>H270-K270</f>
        <v>8</v>
      </c>
      <c r="M270" s="109">
        <f t="shared" si="14"/>
        <v>9.6</v>
      </c>
      <c r="N270" s="42"/>
    </row>
    <row r="271" spans="2:14" s="35" customFormat="1" x14ac:dyDescent="0.25">
      <c r="B271" s="114" t="s">
        <v>363</v>
      </c>
      <c r="C271" s="114" t="s">
        <v>361</v>
      </c>
      <c r="D271" s="189"/>
      <c r="E271" s="189">
        <v>1.5</v>
      </c>
      <c r="F271" s="138">
        <v>2</v>
      </c>
      <c r="G271" s="189"/>
      <c r="H271" s="187">
        <v>18</v>
      </c>
      <c r="I271" s="189"/>
      <c r="J271" s="189"/>
      <c r="K271" s="189"/>
      <c r="L271" s="120">
        <f>H271-K271</f>
        <v>18</v>
      </c>
      <c r="M271" s="109">
        <f t="shared" si="14"/>
        <v>27</v>
      </c>
      <c r="N271" s="42"/>
    </row>
    <row r="272" spans="2:14" s="35" customFormat="1" x14ac:dyDescent="0.25">
      <c r="B272" s="151" t="s">
        <v>363</v>
      </c>
      <c r="C272" s="151" t="s">
        <v>362</v>
      </c>
      <c r="D272" s="190"/>
      <c r="E272" s="190">
        <v>0.5</v>
      </c>
      <c r="F272" s="153">
        <v>1</v>
      </c>
      <c r="G272" s="190"/>
      <c r="H272" s="188">
        <v>34</v>
      </c>
      <c r="I272" s="190"/>
      <c r="J272" s="190"/>
      <c r="K272" s="190"/>
      <c r="L272" s="120">
        <f>H272-K272</f>
        <v>34</v>
      </c>
      <c r="M272" s="109">
        <f t="shared" si="14"/>
        <v>17</v>
      </c>
      <c r="N272" s="42"/>
    </row>
    <row r="273" spans="2:17" s="35" customFormat="1" x14ac:dyDescent="0.25">
      <c r="B273" s="114" t="s">
        <v>363</v>
      </c>
      <c r="C273" s="114" t="s">
        <v>380</v>
      </c>
      <c r="D273" s="189"/>
      <c r="E273" s="189">
        <v>20</v>
      </c>
      <c r="F273" s="138"/>
      <c r="G273" s="189"/>
      <c r="H273" s="187">
        <v>123</v>
      </c>
      <c r="I273" s="189"/>
      <c r="J273" s="189"/>
      <c r="K273" s="189"/>
      <c r="L273" s="120">
        <f>H273-K273</f>
        <v>123</v>
      </c>
      <c r="M273" s="109">
        <f t="shared" si="14"/>
        <v>2460</v>
      </c>
      <c r="N273" s="42"/>
    </row>
    <row r="274" spans="2:17" s="35" customFormat="1" x14ac:dyDescent="0.25">
      <c r="B274" s="114" t="s">
        <v>363</v>
      </c>
      <c r="C274" s="114" t="s">
        <v>381</v>
      </c>
      <c r="D274" s="189"/>
      <c r="E274" s="189">
        <v>22</v>
      </c>
      <c r="F274" s="138"/>
      <c r="G274" s="189"/>
      <c r="H274" s="187">
        <v>6</v>
      </c>
      <c r="I274" s="189"/>
      <c r="J274" s="189"/>
      <c r="K274" s="189"/>
      <c r="L274" s="120">
        <f t="shared" ref="L274" si="15">H274-K274</f>
        <v>6</v>
      </c>
      <c r="M274" s="109">
        <f t="shared" si="14"/>
        <v>132</v>
      </c>
      <c r="N274" s="42"/>
    </row>
    <row r="275" spans="2:17" s="35" customFormat="1" x14ac:dyDescent="0.25">
      <c r="B275" s="104"/>
      <c r="C275" s="104"/>
      <c r="D275" s="104"/>
      <c r="E275" s="104"/>
      <c r="F275" s="105"/>
      <c r="G275" s="104"/>
      <c r="H275" s="104"/>
      <c r="I275" s="104"/>
      <c r="J275" s="104"/>
      <c r="K275" s="104"/>
      <c r="L275" s="113"/>
      <c r="M275" s="104"/>
      <c r="N275" s="106"/>
      <c r="O275" s="104"/>
      <c r="P275" s="104"/>
      <c r="Q275" s="104"/>
    </row>
    <row r="276" spans="2:17" s="35" customFormat="1" x14ac:dyDescent="0.25">
      <c r="B276" s="104"/>
      <c r="C276" s="104"/>
      <c r="D276" s="104"/>
      <c r="E276" s="104"/>
      <c r="F276" s="105"/>
      <c r="G276" s="104"/>
      <c r="H276" s="104"/>
      <c r="I276" s="104"/>
      <c r="J276" s="104"/>
      <c r="K276" s="104"/>
      <c r="L276" s="113"/>
      <c r="M276" s="104"/>
      <c r="N276" s="106"/>
      <c r="O276" s="104"/>
      <c r="P276" s="104"/>
      <c r="Q276" s="104"/>
    </row>
    <row r="277" spans="2:17" s="35" customFormat="1" x14ac:dyDescent="0.25">
      <c r="B277" s="104"/>
      <c r="C277" s="104"/>
      <c r="D277" s="104"/>
      <c r="E277" s="104"/>
      <c r="F277" s="105"/>
      <c r="G277" s="104"/>
      <c r="H277" s="104"/>
      <c r="I277" s="104"/>
      <c r="J277" s="104"/>
      <c r="K277" s="104"/>
      <c r="L277" s="104"/>
      <c r="M277" s="104"/>
      <c r="N277" s="106"/>
      <c r="O277" s="104"/>
      <c r="P277" s="104"/>
      <c r="Q277" s="104"/>
    </row>
    <row r="278" spans="2:17" s="35" customFormat="1" x14ac:dyDescent="0.25">
      <c r="B278" s="104"/>
      <c r="C278" s="104"/>
      <c r="D278" s="104"/>
      <c r="E278" s="104"/>
      <c r="F278" s="105"/>
      <c r="G278" s="104"/>
      <c r="H278" s="104"/>
      <c r="I278" s="104"/>
      <c r="J278" s="104"/>
      <c r="K278" s="104"/>
      <c r="L278" s="104"/>
      <c r="M278" s="104"/>
      <c r="N278" s="106"/>
      <c r="O278" s="104"/>
      <c r="P278" s="104"/>
      <c r="Q278" s="104"/>
    </row>
    <row r="279" spans="2:17" s="35" customFormat="1" x14ac:dyDescent="0.25">
      <c r="B279" s="104"/>
      <c r="C279" s="104"/>
      <c r="D279" s="104"/>
      <c r="E279" s="104"/>
      <c r="F279" s="105"/>
      <c r="G279" s="104"/>
      <c r="H279" s="104"/>
      <c r="I279" s="104"/>
      <c r="J279" s="104"/>
      <c r="K279" s="104"/>
      <c r="L279" s="104"/>
      <c r="M279" s="104"/>
      <c r="N279" s="106"/>
      <c r="O279" s="104"/>
      <c r="P279" s="104"/>
      <c r="Q279" s="104"/>
    </row>
    <row r="280" spans="2:17" s="35" customFormat="1" x14ac:dyDescent="0.25">
      <c r="B280" s="104"/>
      <c r="C280" s="104"/>
      <c r="D280" s="104"/>
      <c r="E280" s="104"/>
      <c r="F280" s="105"/>
      <c r="G280" s="104"/>
      <c r="H280" s="104"/>
      <c r="I280" s="104"/>
      <c r="J280" s="104"/>
      <c r="K280" s="104"/>
      <c r="L280" s="104"/>
      <c r="M280" s="104"/>
      <c r="N280" s="106"/>
      <c r="O280" s="104"/>
      <c r="P280" s="104"/>
      <c r="Q280" s="104"/>
    </row>
    <row r="281" spans="2:17" s="35" customFormat="1" x14ac:dyDescent="0.25">
      <c r="B281" s="104"/>
      <c r="C281" s="104"/>
      <c r="D281" s="104"/>
      <c r="E281" s="104"/>
      <c r="F281" s="105"/>
      <c r="G281" s="104"/>
      <c r="H281" s="104"/>
      <c r="I281" s="104"/>
      <c r="J281" s="104"/>
      <c r="K281" s="104"/>
      <c r="L281" s="104"/>
      <c r="M281" s="104"/>
      <c r="N281" s="106"/>
      <c r="O281" s="104"/>
      <c r="P281" s="104"/>
      <c r="Q281" s="104"/>
    </row>
    <row r="282" spans="2:17" s="35" customFormat="1" x14ac:dyDescent="0.25">
      <c r="B282" s="104"/>
      <c r="C282" s="104"/>
      <c r="D282" s="104"/>
      <c r="E282" s="104"/>
      <c r="F282" s="105"/>
      <c r="G282" s="104"/>
      <c r="H282" s="104"/>
      <c r="I282" s="104"/>
      <c r="J282" s="104"/>
      <c r="K282" s="104"/>
      <c r="L282" s="104"/>
      <c r="M282" s="104"/>
      <c r="N282" s="106"/>
      <c r="O282" s="104"/>
      <c r="P282" s="104"/>
      <c r="Q282" s="104"/>
    </row>
    <row r="283" spans="2:17" s="35" customFormat="1" x14ac:dyDescent="0.25">
      <c r="B283" s="104"/>
      <c r="C283" s="104"/>
      <c r="D283" s="104"/>
      <c r="E283" s="104"/>
      <c r="F283" s="105"/>
      <c r="G283" s="104"/>
      <c r="H283" s="104"/>
      <c r="I283" s="104"/>
      <c r="J283" s="104"/>
      <c r="K283" s="104"/>
      <c r="L283" s="104"/>
      <c r="M283" s="104"/>
      <c r="N283" s="106"/>
      <c r="O283" s="104"/>
      <c r="P283" s="104"/>
      <c r="Q283" s="104"/>
    </row>
    <row r="284" spans="2:17" s="35" customFormat="1" x14ac:dyDescent="0.25">
      <c r="B284" s="104"/>
      <c r="C284" s="104"/>
      <c r="D284" s="104"/>
      <c r="E284" s="104"/>
      <c r="F284" s="105"/>
      <c r="G284" s="104"/>
      <c r="H284" s="104"/>
      <c r="I284" s="104"/>
      <c r="J284" s="104"/>
      <c r="K284" s="104"/>
      <c r="L284" s="104"/>
      <c r="M284" s="104"/>
      <c r="N284" s="106"/>
      <c r="O284" s="104"/>
      <c r="P284" s="104"/>
      <c r="Q284" s="104"/>
    </row>
    <row r="285" spans="2:17" s="35" customFormat="1" x14ac:dyDescent="0.25">
      <c r="B285" s="104"/>
      <c r="C285" s="104"/>
      <c r="D285" s="104"/>
      <c r="E285" s="104"/>
      <c r="F285" s="105"/>
      <c r="G285" s="104"/>
      <c r="H285" s="104"/>
      <c r="I285" s="104"/>
      <c r="J285" s="104"/>
      <c r="K285" s="104"/>
      <c r="L285" s="104"/>
      <c r="M285" s="104"/>
      <c r="N285" s="106"/>
      <c r="O285" s="104"/>
      <c r="P285" s="104"/>
      <c r="Q285" s="104"/>
    </row>
    <row r="286" spans="2:17" x14ac:dyDescent="0.25">
      <c r="B286" s="107"/>
      <c r="C286" s="107"/>
      <c r="D286" s="107"/>
      <c r="E286" s="107"/>
      <c r="F286" s="105"/>
      <c r="G286" s="107"/>
      <c r="H286" s="107"/>
      <c r="I286" s="107"/>
      <c r="J286" s="107"/>
      <c r="K286" s="107"/>
      <c r="L286" s="107"/>
      <c r="M286" s="107"/>
      <c r="N286" s="106"/>
      <c r="O286" s="107"/>
      <c r="P286" s="107"/>
      <c r="Q286" s="107"/>
    </row>
    <row r="287" spans="2:17" x14ac:dyDescent="0.25">
      <c r="B287" s="107"/>
      <c r="C287" s="107"/>
      <c r="D287" s="107"/>
      <c r="E287" s="107"/>
      <c r="F287" s="105"/>
      <c r="G287" s="107"/>
      <c r="H287" s="107"/>
      <c r="I287" s="107"/>
      <c r="J287" s="107"/>
      <c r="K287" s="107"/>
      <c r="L287" s="107"/>
      <c r="M287" s="107"/>
      <c r="N287" s="106"/>
      <c r="O287" s="107"/>
      <c r="P287" s="107"/>
      <c r="Q287" s="107"/>
    </row>
    <row r="288" spans="2:17" x14ac:dyDescent="0.25">
      <c r="B288" s="107"/>
      <c r="C288" s="107"/>
      <c r="D288" s="107"/>
      <c r="E288" s="107"/>
      <c r="F288" s="105"/>
      <c r="G288" s="107"/>
      <c r="H288" s="107"/>
      <c r="I288" s="107"/>
      <c r="J288" s="107"/>
      <c r="K288" s="107"/>
      <c r="L288" s="107"/>
      <c r="M288" s="107"/>
      <c r="N288" s="106"/>
      <c r="O288" s="107"/>
      <c r="P288" s="107"/>
      <c r="Q288" s="107"/>
    </row>
    <row r="289" spans="2:17" x14ac:dyDescent="0.25">
      <c r="B289" s="107"/>
      <c r="C289" s="107"/>
      <c r="D289" s="107"/>
      <c r="E289" s="107"/>
      <c r="F289" s="105"/>
      <c r="G289" s="107"/>
      <c r="H289" s="107"/>
      <c r="I289" s="107"/>
      <c r="J289" s="107"/>
      <c r="K289" s="107"/>
      <c r="L289" s="107"/>
      <c r="M289" s="107"/>
      <c r="N289" s="106"/>
      <c r="O289" s="107"/>
      <c r="P289" s="107"/>
      <c r="Q289" s="107"/>
    </row>
    <row r="290" spans="2:17" x14ac:dyDescent="0.25">
      <c r="B290" s="107"/>
      <c r="C290" s="107"/>
      <c r="D290" s="107"/>
      <c r="E290" s="107"/>
      <c r="F290" s="105"/>
      <c r="G290" s="107"/>
      <c r="H290" s="107"/>
      <c r="I290" s="107"/>
      <c r="J290" s="107"/>
      <c r="K290" s="107"/>
      <c r="L290" s="107"/>
      <c r="M290" s="107"/>
      <c r="N290" s="106"/>
      <c r="O290" s="107"/>
      <c r="P290" s="107"/>
      <c r="Q290" s="107"/>
    </row>
    <row r="291" spans="2:17" x14ac:dyDescent="0.25">
      <c r="B291" s="107"/>
      <c r="C291" s="107"/>
      <c r="D291" s="107"/>
      <c r="E291" s="107"/>
      <c r="F291" s="105"/>
      <c r="G291" s="107"/>
      <c r="H291" s="107"/>
      <c r="I291" s="107"/>
      <c r="J291" s="107"/>
      <c r="K291" s="107"/>
      <c r="L291" s="107"/>
      <c r="M291" s="107"/>
      <c r="N291" s="106"/>
      <c r="O291" s="107"/>
      <c r="P291" s="107"/>
      <c r="Q291" s="107"/>
    </row>
    <row r="292" spans="2:17" x14ac:dyDescent="0.3">
      <c r="B292" s="107"/>
      <c r="C292" s="107"/>
      <c r="D292" s="107"/>
      <c r="E292" s="107"/>
      <c r="F292" s="108"/>
      <c r="G292" s="107"/>
      <c r="H292" s="107"/>
      <c r="I292" s="107"/>
      <c r="J292" s="107"/>
      <c r="K292" s="107"/>
      <c r="L292" s="107"/>
      <c r="M292" s="107"/>
      <c r="N292" s="106"/>
      <c r="O292" s="107"/>
      <c r="P292" s="107"/>
      <c r="Q292" s="107"/>
    </row>
    <row r="293" spans="2:17" x14ac:dyDescent="0.3">
      <c r="F293" s="70"/>
      <c r="G293" s="6"/>
      <c r="J293" s="6"/>
    </row>
    <row r="294" spans="2:17" x14ac:dyDescent="0.3">
      <c r="F294" s="70"/>
      <c r="G294" s="6"/>
      <c r="J294" s="6"/>
    </row>
    <row r="295" spans="2:17" x14ac:dyDescent="0.3">
      <c r="F295" s="70"/>
      <c r="G295" s="6"/>
      <c r="J295" s="6"/>
    </row>
    <row r="296" spans="2:17" x14ac:dyDescent="0.3">
      <c r="F296" s="70"/>
      <c r="G296" s="6"/>
      <c r="J296" s="6"/>
    </row>
    <row r="298" spans="2:17" x14ac:dyDescent="0.3">
      <c r="F298" s="70"/>
      <c r="G298" s="6"/>
      <c r="J298" s="6"/>
    </row>
    <row r="299" spans="2:17" x14ac:dyDescent="0.3">
      <c r="F299" s="70"/>
      <c r="G299" s="6"/>
      <c r="J299" s="6"/>
    </row>
    <row r="300" spans="2:17" x14ac:dyDescent="0.3">
      <c r="F300" s="70"/>
      <c r="G300" s="6"/>
      <c r="J300" s="6"/>
    </row>
    <row r="301" spans="2:17" x14ac:dyDescent="0.3">
      <c r="F301" s="70"/>
      <c r="G301" s="6"/>
      <c r="J301" s="6"/>
    </row>
    <row r="302" spans="2:17" x14ac:dyDescent="0.3">
      <c r="F302" s="70"/>
      <c r="G302" s="6"/>
      <c r="J302" s="6"/>
    </row>
    <row r="303" spans="2:17" x14ac:dyDescent="0.3">
      <c r="F303" s="70"/>
      <c r="G303" s="6"/>
      <c r="J303" s="6"/>
    </row>
    <row r="304" spans="2:17" x14ac:dyDescent="0.3">
      <c r="F304" s="70"/>
      <c r="G304" s="6"/>
      <c r="J304" s="6"/>
    </row>
    <row r="305" spans="6:10" x14ac:dyDescent="0.3">
      <c r="F305" s="70"/>
      <c r="G305" s="6"/>
      <c r="J305" s="6"/>
    </row>
    <row r="306" spans="6:10" x14ac:dyDescent="0.3">
      <c r="F306" s="70"/>
      <c r="G306" s="6"/>
      <c r="J306" s="6"/>
    </row>
    <row r="307" spans="6:10" x14ac:dyDescent="0.3">
      <c r="F307" s="70"/>
      <c r="G307" s="6"/>
      <c r="J307" s="6"/>
    </row>
    <row r="308" spans="6:10" x14ac:dyDescent="0.3">
      <c r="F308" s="70"/>
      <c r="G308" s="6"/>
      <c r="J308" s="6"/>
    </row>
    <row r="309" spans="6:10" x14ac:dyDescent="0.3">
      <c r="F309" s="70"/>
      <c r="G309" s="6"/>
      <c r="J309" s="6"/>
    </row>
    <row r="310" spans="6:10" x14ac:dyDescent="0.3">
      <c r="F310" s="70"/>
      <c r="G310" s="6"/>
      <c r="J310" s="6"/>
    </row>
    <row r="311" spans="6:10" x14ac:dyDescent="0.3">
      <c r="F311" s="70"/>
      <c r="G311" s="6"/>
      <c r="J311" s="6"/>
    </row>
    <row r="312" spans="6:10" x14ac:dyDescent="0.3">
      <c r="F312" s="70"/>
      <c r="G312" s="6"/>
      <c r="J312" s="6"/>
    </row>
    <row r="313" spans="6:10" x14ac:dyDescent="0.3">
      <c r="F313" s="70"/>
      <c r="G313" s="6"/>
      <c r="J313" s="6"/>
    </row>
    <row r="314" spans="6:10" x14ac:dyDescent="0.3">
      <c r="F314" s="70"/>
      <c r="G314" s="6"/>
      <c r="J314" s="6"/>
    </row>
    <row r="315" spans="6:10" x14ac:dyDescent="0.3">
      <c r="F315" s="70"/>
      <c r="G315" s="6"/>
      <c r="J315" s="6"/>
    </row>
    <row r="316" spans="6:10" x14ac:dyDescent="0.3">
      <c r="F316" s="70"/>
      <c r="G316" s="6"/>
      <c r="J316" s="6"/>
    </row>
    <row r="317" spans="6:10" x14ac:dyDescent="0.3">
      <c r="F317" s="70"/>
      <c r="G317" s="6"/>
      <c r="J317" s="6"/>
    </row>
    <row r="318" spans="6:10" x14ac:dyDescent="0.3">
      <c r="F318" s="70"/>
      <c r="G318" s="6"/>
      <c r="J318" s="6"/>
    </row>
    <row r="319" spans="6:10" x14ac:dyDescent="0.3">
      <c r="F319" s="70"/>
      <c r="G319" s="6"/>
      <c r="J319" s="6"/>
    </row>
    <row r="320" spans="6:10" x14ac:dyDescent="0.3">
      <c r="F320" s="70"/>
      <c r="G320" s="6"/>
      <c r="J320" s="6"/>
    </row>
    <row r="321" spans="2:12" x14ac:dyDescent="0.3">
      <c r="F321" s="70"/>
      <c r="G321" s="6"/>
      <c r="J321" s="6"/>
    </row>
    <row r="322" spans="2:12" x14ac:dyDescent="0.3">
      <c r="F322" s="70"/>
      <c r="G322" s="6"/>
      <c r="J322" s="6"/>
    </row>
    <row r="323" spans="2:12" x14ac:dyDescent="0.3">
      <c r="F323" s="70"/>
      <c r="G323" s="6"/>
      <c r="J323" s="6"/>
    </row>
    <row r="324" spans="2:12" ht="19.5" thickBot="1" x14ac:dyDescent="0.3">
      <c r="B324" s="39"/>
      <c r="C324" s="16"/>
      <c r="D324" s="20"/>
      <c r="E324" s="20"/>
      <c r="F324" s="62"/>
      <c r="G324" s="60"/>
      <c r="H324" s="16"/>
      <c r="I324" s="20"/>
      <c r="J324" s="32"/>
      <c r="K324" s="20"/>
      <c r="L324" s="21"/>
    </row>
    <row r="325" spans="2:12" ht="19.5" thickBot="1" x14ac:dyDescent="0.3">
      <c r="B325" s="3"/>
      <c r="C325" s="1"/>
      <c r="D325" s="12"/>
      <c r="E325" s="12"/>
      <c r="F325" s="63"/>
      <c r="G325" s="19"/>
      <c r="H325" s="1"/>
      <c r="I325" s="12"/>
      <c r="J325" s="32"/>
      <c r="K325" s="12"/>
      <c r="L325" s="21"/>
    </row>
    <row r="326" spans="2:12" ht="19.5" thickBot="1" x14ac:dyDescent="0.3">
      <c r="B326" s="3"/>
      <c r="C326" s="38"/>
      <c r="D326" s="12"/>
      <c r="E326" s="12"/>
      <c r="F326" s="63"/>
      <c r="G326" s="60"/>
      <c r="H326" s="1"/>
      <c r="I326" s="12"/>
      <c r="J326" s="32"/>
      <c r="K326" s="12"/>
      <c r="L326" s="21"/>
    </row>
    <row r="327" spans="2:12" ht="19.5" thickBot="1" x14ac:dyDescent="0.3">
      <c r="B327" s="3"/>
      <c r="C327" s="1"/>
      <c r="D327" s="12"/>
      <c r="E327" s="12"/>
      <c r="F327" s="63"/>
      <c r="G327" s="19"/>
      <c r="H327" s="1"/>
      <c r="I327" s="12"/>
      <c r="J327" s="32"/>
      <c r="K327" s="12"/>
      <c r="L327" s="21"/>
    </row>
    <row r="328" spans="2:12" ht="19.5" thickBot="1" x14ac:dyDescent="0.3">
      <c r="B328" s="3"/>
      <c r="C328" s="3"/>
      <c r="D328" s="21"/>
      <c r="E328" s="21"/>
      <c r="F328" s="65"/>
      <c r="G328" s="60"/>
      <c r="H328" s="3"/>
      <c r="I328" s="21"/>
      <c r="J328" s="41"/>
      <c r="K328" s="21"/>
      <c r="L328" s="21"/>
    </row>
    <row r="329" spans="2:12" ht="19.5" thickBot="1" x14ac:dyDescent="0.3">
      <c r="B329" s="40"/>
      <c r="C329" s="38"/>
      <c r="D329" s="36"/>
      <c r="E329" s="36"/>
      <c r="F329" s="66"/>
      <c r="G329" s="19"/>
      <c r="H329" s="38"/>
      <c r="I329" s="36"/>
      <c r="J329" s="33"/>
      <c r="K329" s="36"/>
      <c r="L329" s="21"/>
    </row>
    <row r="330" spans="2:12" ht="19.5" thickBot="1" x14ac:dyDescent="0.3">
      <c r="B330" s="29"/>
      <c r="C330" s="25"/>
      <c r="D330" s="24"/>
      <c r="E330" s="24"/>
      <c r="F330" s="67"/>
      <c r="G330" s="60"/>
      <c r="H330" s="38"/>
      <c r="I330" s="24"/>
      <c r="J330" s="33"/>
      <c r="K330" s="24"/>
      <c r="L330" s="21"/>
    </row>
    <row r="331" spans="2:12" ht="19.5" thickBot="1" x14ac:dyDescent="0.3">
      <c r="B331" s="29"/>
      <c r="C331" s="25"/>
      <c r="D331" s="24"/>
      <c r="E331" s="24"/>
      <c r="F331" s="67"/>
      <c r="G331" s="60"/>
      <c r="H331" s="38"/>
      <c r="I331" s="24"/>
      <c r="J331" s="33"/>
      <c r="K331" s="24"/>
      <c r="L331" s="21"/>
    </row>
    <row r="332" spans="2:12" ht="19.5" thickBot="1" x14ac:dyDescent="0.3">
      <c r="B332" s="29"/>
      <c r="C332" s="25"/>
      <c r="D332" s="24"/>
      <c r="E332" s="24"/>
      <c r="F332" s="67"/>
      <c r="G332" s="19"/>
      <c r="H332" s="38"/>
      <c r="I332" s="24"/>
      <c r="J332" s="33"/>
      <c r="K332" s="24"/>
      <c r="L332" s="21"/>
    </row>
    <row r="333" spans="2:12" ht="19.5" thickBot="1" x14ac:dyDescent="0.3">
      <c r="B333" s="29"/>
      <c r="C333" s="25"/>
      <c r="D333" s="24"/>
      <c r="E333" s="24"/>
      <c r="F333" s="67"/>
      <c r="G333" s="60"/>
      <c r="H333" s="38"/>
      <c r="I333" s="24"/>
      <c r="J333" s="33"/>
      <c r="K333" s="24"/>
      <c r="L333" s="21"/>
    </row>
    <row r="334" spans="2:12" ht="19.5" thickBot="1" x14ac:dyDescent="0.3">
      <c r="B334" s="29"/>
      <c r="C334" s="25"/>
      <c r="D334" s="30"/>
      <c r="E334" s="44"/>
      <c r="F334" s="68"/>
      <c r="G334" s="19"/>
      <c r="H334" s="40"/>
      <c r="I334" s="44"/>
      <c r="J334" s="45"/>
      <c r="K334" s="44"/>
      <c r="L334" s="21"/>
    </row>
    <row r="335" spans="2:12" ht="19.5" thickBot="1" x14ac:dyDescent="0.3">
      <c r="B335" s="29"/>
      <c r="C335" s="25"/>
      <c r="D335" s="36"/>
      <c r="E335" s="36"/>
      <c r="F335" s="66"/>
      <c r="G335" s="60"/>
      <c r="H335" s="38"/>
      <c r="I335" s="36"/>
      <c r="J335" s="33"/>
      <c r="K335" s="36"/>
      <c r="L335" s="21"/>
    </row>
    <row r="336" spans="2:12" ht="19.5" thickBot="1" x14ac:dyDescent="0.3">
      <c r="B336" s="29"/>
      <c r="C336" s="25"/>
      <c r="D336" s="36"/>
      <c r="E336" s="36"/>
      <c r="F336" s="66"/>
      <c r="G336" s="19"/>
      <c r="H336" s="38"/>
      <c r="I336" s="36"/>
      <c r="J336" s="33"/>
      <c r="K336" s="36"/>
      <c r="L336" s="21"/>
    </row>
    <row r="337" spans="2:12" ht="19.5" thickBot="1" x14ac:dyDescent="0.3">
      <c r="B337" s="29"/>
      <c r="C337" s="25"/>
      <c r="D337" s="36"/>
      <c r="E337" s="36"/>
      <c r="F337" s="66"/>
      <c r="G337" s="60"/>
      <c r="H337" s="38"/>
      <c r="I337" s="36"/>
      <c r="J337" s="33"/>
      <c r="K337" s="36"/>
      <c r="L337" s="21"/>
    </row>
    <row r="338" spans="2:12" ht="19.5" thickBot="1" x14ac:dyDescent="0.3">
      <c r="B338" s="29"/>
      <c r="C338" s="38"/>
      <c r="D338" s="36"/>
      <c r="E338" s="36"/>
      <c r="F338" s="66"/>
      <c r="G338" s="19"/>
      <c r="H338" s="38"/>
      <c r="I338" s="36"/>
      <c r="J338" s="33"/>
      <c r="K338" s="36"/>
      <c r="L338" s="21"/>
    </row>
    <row r="339" spans="2:12" ht="19.5" thickBot="1" x14ac:dyDescent="0.3">
      <c r="B339" s="29"/>
      <c r="C339" s="38"/>
      <c r="D339" s="36"/>
      <c r="E339" s="36"/>
      <c r="F339" s="66"/>
      <c r="G339" s="60"/>
      <c r="H339" s="38"/>
      <c r="I339" s="36"/>
      <c r="J339" s="37"/>
      <c r="K339" s="82"/>
      <c r="L339" s="21"/>
    </row>
    <row r="340" spans="2:12" ht="19.5" thickBot="1" x14ac:dyDescent="0.3">
      <c r="B340" s="29"/>
      <c r="C340" s="29"/>
      <c r="D340" s="30"/>
      <c r="E340" s="30"/>
      <c r="F340" s="69"/>
      <c r="G340" s="19"/>
      <c r="H340" s="29"/>
      <c r="I340" s="30"/>
      <c r="J340" s="31"/>
      <c r="K340" s="30"/>
      <c r="L340" s="21"/>
    </row>
    <row r="341" spans="2:12" ht="19.5" thickBot="1" x14ac:dyDescent="0.3">
      <c r="B341" s="29"/>
      <c r="C341" s="38"/>
      <c r="D341" s="36"/>
      <c r="E341" s="36"/>
      <c r="F341" s="66"/>
      <c r="G341" s="60"/>
      <c r="H341" s="38"/>
      <c r="I341" s="36"/>
      <c r="J341" s="33"/>
      <c r="K341" s="36"/>
      <c r="L341" s="21"/>
    </row>
    <row r="342" spans="2:12" ht="19.5" thickBot="1" x14ac:dyDescent="0.3">
      <c r="B342" s="29"/>
      <c r="C342" s="38"/>
      <c r="D342" s="36"/>
      <c r="E342" s="36"/>
      <c r="F342" s="66"/>
      <c r="G342" s="19"/>
      <c r="H342" s="38"/>
      <c r="I342" s="36"/>
      <c r="J342" s="33"/>
      <c r="K342" s="36"/>
      <c r="L342" s="21"/>
    </row>
    <row r="343" spans="2:12" ht="19.5" thickBot="1" x14ac:dyDescent="0.3">
      <c r="B343" s="29"/>
      <c r="C343" s="38"/>
      <c r="D343" s="36"/>
      <c r="E343" s="36"/>
      <c r="F343" s="66"/>
      <c r="G343" s="60"/>
      <c r="H343" s="38"/>
      <c r="I343" s="36"/>
      <c r="J343" s="33"/>
      <c r="K343" s="36"/>
      <c r="L343" s="21"/>
    </row>
    <row r="344" spans="2:12" ht="19.5" thickBot="1" x14ac:dyDescent="0.3">
      <c r="B344" s="29"/>
      <c r="C344" s="38"/>
      <c r="D344" s="36"/>
      <c r="E344" s="36"/>
      <c r="F344" s="66"/>
      <c r="G344" s="19"/>
      <c r="H344" s="38"/>
      <c r="I344" s="36"/>
      <c r="J344" s="33"/>
      <c r="K344" s="36"/>
      <c r="L344" s="21"/>
    </row>
    <row r="345" spans="2:12" ht="19.5" thickBot="1" x14ac:dyDescent="0.3">
      <c r="B345" s="29"/>
      <c r="C345" s="38"/>
      <c r="D345" s="36"/>
      <c r="E345" s="36"/>
      <c r="F345" s="66"/>
      <c r="G345" s="60"/>
      <c r="H345" s="38"/>
      <c r="I345" s="36"/>
      <c r="J345" s="33"/>
      <c r="K345" s="36"/>
      <c r="L345" s="21"/>
    </row>
    <row r="346" spans="2:12" ht="19.5" thickBot="1" x14ac:dyDescent="0.3">
      <c r="B346" s="29"/>
      <c r="C346" s="38"/>
      <c r="D346" s="36"/>
      <c r="E346" s="36"/>
      <c r="F346" s="66"/>
      <c r="G346" s="19"/>
      <c r="H346" s="38"/>
      <c r="I346" s="36"/>
      <c r="J346" s="33"/>
      <c r="K346" s="36"/>
      <c r="L346" s="21"/>
    </row>
    <row r="347" spans="2:12" ht="19.5" thickBot="1" x14ac:dyDescent="0.3">
      <c r="B347" s="29"/>
      <c r="C347" s="38"/>
      <c r="D347" s="36"/>
      <c r="E347" s="36"/>
      <c r="F347" s="66"/>
      <c r="G347" s="60"/>
      <c r="H347" s="38"/>
      <c r="I347" s="36"/>
      <c r="J347" s="33"/>
      <c r="K347" s="36"/>
      <c r="L347" s="21"/>
    </row>
    <row r="348" spans="2:12" ht="19.5" thickBot="1" x14ac:dyDescent="0.3">
      <c r="B348" s="29"/>
      <c r="C348" s="38"/>
      <c r="D348" s="36"/>
      <c r="E348" s="36"/>
      <c r="F348" s="66"/>
      <c r="G348" s="60"/>
      <c r="H348" s="38"/>
      <c r="I348" s="36"/>
      <c r="J348" s="33"/>
      <c r="K348" s="36"/>
      <c r="L348" s="21"/>
    </row>
    <row r="349" spans="2:12" ht="19.5" thickBot="1" x14ac:dyDescent="0.3">
      <c r="B349" s="29"/>
      <c r="C349" s="38"/>
      <c r="D349" s="36"/>
      <c r="E349" s="36"/>
      <c r="F349" s="66"/>
      <c r="G349" s="19"/>
      <c r="H349" s="38"/>
      <c r="I349" s="36"/>
      <c r="J349" s="33"/>
      <c r="K349" s="36"/>
      <c r="L349" s="21"/>
    </row>
    <row r="350" spans="2:12" ht="19.5" thickBot="1" x14ac:dyDescent="0.3">
      <c r="B350" s="29"/>
      <c r="C350" s="38"/>
      <c r="D350" s="27"/>
      <c r="E350" s="36"/>
      <c r="F350" s="66"/>
      <c r="G350" s="60"/>
      <c r="H350" s="38"/>
      <c r="I350" s="36"/>
      <c r="J350" s="28"/>
      <c r="K350" s="36"/>
      <c r="L350" s="21"/>
    </row>
    <row r="351" spans="2:12" ht="19.5" thickBot="1" x14ac:dyDescent="0.3">
      <c r="B351" s="29"/>
      <c r="C351" s="25"/>
      <c r="D351" s="24"/>
      <c r="E351" s="24"/>
      <c r="F351" s="67"/>
      <c r="G351" s="19"/>
      <c r="H351" s="38"/>
      <c r="I351" s="24"/>
      <c r="J351" s="26"/>
      <c r="K351" s="24"/>
      <c r="L351" s="21"/>
    </row>
    <row r="352" spans="2:12" ht="19.5" thickBot="1" x14ac:dyDescent="0.3">
      <c r="B352" s="29"/>
      <c r="C352" s="25"/>
      <c r="D352" s="24"/>
      <c r="E352" s="24"/>
      <c r="F352" s="67"/>
      <c r="G352" s="60"/>
      <c r="H352" s="38"/>
      <c r="I352" s="24"/>
      <c r="J352" s="26"/>
      <c r="K352" s="24"/>
      <c r="L352" s="21"/>
    </row>
    <row r="353" spans="2:12" ht="19.5" thickBot="1" x14ac:dyDescent="0.3">
      <c r="B353" s="29"/>
      <c r="C353" s="25"/>
      <c r="D353" s="24"/>
      <c r="E353" s="24"/>
      <c r="F353" s="67"/>
      <c r="G353" s="19"/>
      <c r="H353" s="38"/>
      <c r="I353" s="24"/>
      <c r="J353" s="26"/>
      <c r="K353" s="24"/>
      <c r="L353" s="21"/>
    </row>
    <row r="354" spans="2:12" ht="19.5" thickBot="1" x14ac:dyDescent="0.3">
      <c r="B354" s="29"/>
      <c r="C354" s="25"/>
      <c r="D354" s="24"/>
      <c r="E354" s="24"/>
      <c r="F354" s="67"/>
      <c r="G354" s="60"/>
      <c r="H354" s="38"/>
      <c r="I354" s="24"/>
      <c r="J354" s="26"/>
      <c r="K354" s="24"/>
      <c r="L354" s="21"/>
    </row>
    <row r="355" spans="2:12" ht="19.5" thickBot="1" x14ac:dyDescent="0.3">
      <c r="B355" s="29"/>
      <c r="C355" s="29"/>
      <c r="D355" s="30"/>
      <c r="E355" s="30"/>
      <c r="F355" s="69"/>
      <c r="G355" s="19"/>
      <c r="H355" s="38"/>
      <c r="I355" s="30"/>
      <c r="J355" s="31"/>
      <c r="K355" s="30"/>
      <c r="L355" s="21"/>
    </row>
    <row r="356" spans="2:12" ht="19.5" thickBot="1" x14ac:dyDescent="0.35">
      <c r="B356" s="192"/>
      <c r="C356" s="193"/>
      <c r="D356" s="194"/>
      <c r="E356" s="111"/>
      <c r="F356" s="11"/>
      <c r="G356" s="9"/>
      <c r="H356" s="5"/>
      <c r="I356" s="5"/>
      <c r="J356" s="5"/>
    </row>
    <row r="357" spans="2:12" x14ac:dyDescent="0.3">
      <c r="F357" s="70"/>
      <c r="G357" s="6"/>
      <c r="J357" s="6"/>
    </row>
    <row r="358" spans="2:12" x14ac:dyDescent="0.3">
      <c r="F358" s="70"/>
      <c r="G358" s="6"/>
      <c r="J358" s="6"/>
    </row>
    <row r="359" spans="2:12" x14ac:dyDescent="0.3">
      <c r="F359" s="70"/>
      <c r="G359" s="6"/>
      <c r="J359" s="6"/>
    </row>
    <row r="360" spans="2:12" x14ac:dyDescent="0.3">
      <c r="F360" s="70"/>
      <c r="G360" s="6"/>
      <c r="J360" s="6"/>
    </row>
    <row r="361" spans="2:12" x14ac:dyDescent="0.3">
      <c r="F361" s="70"/>
      <c r="G361" s="6"/>
      <c r="J361" s="6"/>
    </row>
    <row r="362" spans="2:12" x14ac:dyDescent="0.3">
      <c r="F362" s="70"/>
      <c r="G362" s="6"/>
      <c r="J362" s="6"/>
    </row>
    <row r="363" spans="2:12" x14ac:dyDescent="0.3">
      <c r="F363" s="70"/>
      <c r="G363" s="6"/>
      <c r="J363" s="6"/>
    </row>
    <row r="364" spans="2:12" x14ac:dyDescent="0.3">
      <c r="F364" s="70"/>
      <c r="G364" s="6"/>
      <c r="J364" s="6"/>
    </row>
    <row r="365" spans="2:12" x14ac:dyDescent="0.3">
      <c r="F365" s="70"/>
      <c r="G365" s="6"/>
      <c r="J365" s="6"/>
    </row>
    <row r="366" spans="2:12" x14ac:dyDescent="0.3">
      <c r="F366" s="70"/>
      <c r="G366" s="6"/>
      <c r="J366" s="6"/>
    </row>
    <row r="367" spans="2:12" x14ac:dyDescent="0.3">
      <c r="F367" s="70"/>
      <c r="G367" s="6"/>
      <c r="J367" s="6"/>
    </row>
    <row r="368" spans="2:12" x14ac:dyDescent="0.3">
      <c r="F368" s="71"/>
    </row>
    <row r="369" spans="6:6" x14ac:dyDescent="0.3">
      <c r="F369" s="71"/>
    </row>
    <row r="370" spans="6:6" x14ac:dyDescent="0.3">
      <c r="F370" s="71"/>
    </row>
    <row r="371" spans="6:6" x14ac:dyDescent="0.3">
      <c r="F371" s="71"/>
    </row>
    <row r="372" spans="6:6" x14ac:dyDescent="0.3">
      <c r="F372" s="71"/>
    </row>
    <row r="373" spans="6:6" x14ac:dyDescent="0.3">
      <c r="F373" s="71"/>
    </row>
    <row r="374" spans="6:6" x14ac:dyDescent="0.3">
      <c r="F374" s="71"/>
    </row>
    <row r="375" spans="6:6" x14ac:dyDescent="0.3">
      <c r="F375" s="71"/>
    </row>
    <row r="376" spans="6:6" x14ac:dyDescent="0.3">
      <c r="F376" s="71"/>
    </row>
    <row r="377" spans="6:6" x14ac:dyDescent="0.3">
      <c r="F377" s="71"/>
    </row>
    <row r="378" spans="6:6" x14ac:dyDescent="0.3">
      <c r="F378" s="71"/>
    </row>
    <row r="379" spans="6:6" x14ac:dyDescent="0.3">
      <c r="F379" s="71"/>
    </row>
    <row r="380" spans="6:6" x14ac:dyDescent="0.3">
      <c r="F380" s="71"/>
    </row>
    <row r="381" spans="6:6" x14ac:dyDescent="0.3">
      <c r="F381" s="71"/>
    </row>
    <row r="657" spans="13:18" x14ac:dyDescent="0.3">
      <c r="R657">
        <v>1</v>
      </c>
    </row>
    <row r="658" spans="13:18" x14ac:dyDescent="0.3">
      <c r="M658" s="35" t="s">
        <v>373</v>
      </c>
    </row>
  </sheetData>
  <autoFilter ref="A3:L274"/>
  <mergeCells count="4">
    <mergeCell ref="B356:D356"/>
    <mergeCell ref="A159:A169"/>
    <mergeCell ref="A144:A158"/>
    <mergeCell ref="A170:A195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318"/>
  <sheetViews>
    <sheetView topLeftCell="C167" workbookViewId="0">
      <selection activeCell="H176" sqref="H176"/>
    </sheetView>
  </sheetViews>
  <sheetFormatPr baseColWidth="10" defaultRowHeight="18.75" x14ac:dyDescent="0.3"/>
  <cols>
    <col min="2" max="2" width="18.7109375" bestFit="1" customWidth="1"/>
    <col min="3" max="3" width="47.42578125" bestFit="1" customWidth="1"/>
    <col min="4" max="4" width="38.85546875" customWidth="1"/>
    <col min="5" max="5" width="16.42578125" style="59" hidden="1" customWidth="1"/>
    <col min="6" max="6" width="31.85546875" style="72" customWidth="1"/>
    <col min="7" max="7" width="31.85546875" hidden="1" customWidth="1"/>
    <col min="8" max="8" width="39.85546875" customWidth="1"/>
    <col min="10" max="10" width="12.42578125" hidden="1" customWidth="1"/>
    <col min="11" max="11" width="15.140625" hidden="1" customWidth="1"/>
    <col min="12" max="12" width="23.85546875" bestFit="1" customWidth="1"/>
    <col min="13" max="13" width="14" bestFit="1" customWidth="1"/>
  </cols>
  <sheetData>
    <row r="3" spans="1:20" x14ac:dyDescent="0.3">
      <c r="A3" s="12" t="s">
        <v>246</v>
      </c>
      <c r="B3" s="1" t="s">
        <v>0</v>
      </c>
      <c r="C3" s="1" t="s">
        <v>1</v>
      </c>
      <c r="D3" s="1" t="s">
        <v>2</v>
      </c>
      <c r="E3" s="46" t="s">
        <v>3</v>
      </c>
      <c r="F3" s="10" t="s">
        <v>137</v>
      </c>
      <c r="G3" s="7" t="s">
        <v>138</v>
      </c>
      <c r="H3" s="7" t="s">
        <v>194</v>
      </c>
      <c r="I3" s="1" t="s">
        <v>4</v>
      </c>
      <c r="J3" s="1" t="s">
        <v>5</v>
      </c>
      <c r="K3" s="1" t="s">
        <v>6</v>
      </c>
      <c r="L3" s="1" t="s">
        <v>140</v>
      </c>
      <c r="M3" s="13" t="s">
        <v>139</v>
      </c>
      <c r="O3" t="s">
        <v>181</v>
      </c>
    </row>
    <row r="4" spans="1:20" x14ac:dyDescent="0.3">
      <c r="B4" s="13" t="s">
        <v>0</v>
      </c>
      <c r="C4" s="13" t="s">
        <v>7</v>
      </c>
      <c r="D4" s="13" t="s">
        <v>8</v>
      </c>
      <c r="E4" s="98">
        <v>11.3</v>
      </c>
      <c r="F4" s="103">
        <f>E4/(1-0.27)</f>
        <v>15.479452054794521</v>
      </c>
      <c r="G4" s="99">
        <f>E4/(1-0.25)</f>
        <v>15.066666666666668</v>
      </c>
      <c r="H4" s="100">
        <f t="shared" ref="H4:H70" si="0">(F4-E4)/F4*(100)</f>
        <v>26.999999999999996</v>
      </c>
      <c r="I4" s="13">
        <v>24</v>
      </c>
      <c r="J4" s="101"/>
      <c r="K4" s="101">
        <f>F4*I4</f>
        <v>371.50684931506851</v>
      </c>
      <c r="L4" s="102">
        <v>2</v>
      </c>
      <c r="M4" s="102">
        <f t="shared" ref="M4:M67" si="1">I4-L4</f>
        <v>22</v>
      </c>
      <c r="O4" s="42">
        <f t="shared" ref="O4:O67" si="2">L4*F4</f>
        <v>30.958904109589042</v>
      </c>
    </row>
    <row r="5" spans="1:20" x14ac:dyDescent="0.3">
      <c r="B5" s="13" t="s">
        <v>0</v>
      </c>
      <c r="C5" s="13" t="s">
        <v>7</v>
      </c>
      <c r="D5" s="13" t="s">
        <v>9</v>
      </c>
      <c r="E5" s="98">
        <v>11.3</v>
      </c>
      <c r="F5" s="103">
        <f t="shared" ref="F5:F68" si="3">E5/(1-0.27)</f>
        <v>15.479452054794521</v>
      </c>
      <c r="G5" s="99">
        <f t="shared" ref="G5:G71" si="4">E5/(1-0.25)</f>
        <v>15.066666666666668</v>
      </c>
      <c r="H5" s="100">
        <f t="shared" si="0"/>
        <v>26.999999999999996</v>
      </c>
      <c r="I5" s="13">
        <v>24</v>
      </c>
      <c r="J5" s="101"/>
      <c r="K5" s="101">
        <f t="shared" ref="K5:K71" si="5">F5*I5</f>
        <v>371.50684931506851</v>
      </c>
      <c r="L5" s="102"/>
      <c r="M5" s="102">
        <f t="shared" si="1"/>
        <v>24</v>
      </c>
      <c r="O5" s="42">
        <f t="shared" si="2"/>
        <v>0</v>
      </c>
    </row>
    <row r="6" spans="1:20" x14ac:dyDescent="0.3">
      <c r="B6" s="13" t="s">
        <v>0</v>
      </c>
      <c r="C6" s="13" t="s">
        <v>10</v>
      </c>
      <c r="D6" s="13" t="s">
        <v>11</v>
      </c>
      <c r="E6" s="98">
        <v>24.6</v>
      </c>
      <c r="F6" s="103">
        <f t="shared" si="3"/>
        <v>33.698630136986303</v>
      </c>
      <c r="G6" s="99">
        <f t="shared" si="4"/>
        <v>32.800000000000004</v>
      </c>
      <c r="H6" s="100">
        <f t="shared" si="0"/>
        <v>26.999999999999996</v>
      </c>
      <c r="I6" s="13">
        <v>12</v>
      </c>
      <c r="J6" s="101"/>
      <c r="K6" s="101">
        <f t="shared" si="5"/>
        <v>404.38356164383561</v>
      </c>
      <c r="L6" s="102"/>
      <c r="M6" s="102">
        <f t="shared" si="1"/>
        <v>12</v>
      </c>
      <c r="O6" s="42">
        <f t="shared" si="2"/>
        <v>0</v>
      </c>
    </row>
    <row r="7" spans="1:20" x14ac:dyDescent="0.3">
      <c r="B7" s="13" t="s">
        <v>0</v>
      </c>
      <c r="C7" s="13" t="s">
        <v>10</v>
      </c>
      <c r="D7" s="13" t="s">
        <v>12</v>
      </c>
      <c r="E7" s="98">
        <v>24.6</v>
      </c>
      <c r="F7" s="103">
        <f t="shared" si="3"/>
        <v>33.698630136986303</v>
      </c>
      <c r="G7" s="99">
        <f t="shared" si="4"/>
        <v>32.800000000000004</v>
      </c>
      <c r="H7" s="100">
        <f t="shared" si="0"/>
        <v>26.999999999999996</v>
      </c>
      <c r="I7" s="13">
        <v>12</v>
      </c>
      <c r="J7" s="101"/>
      <c r="K7" s="101">
        <f t="shared" si="5"/>
        <v>404.38356164383561</v>
      </c>
      <c r="L7" s="102"/>
      <c r="M7" s="102">
        <f t="shared" si="1"/>
        <v>12</v>
      </c>
      <c r="O7" s="42">
        <f t="shared" si="2"/>
        <v>0</v>
      </c>
    </row>
    <row r="8" spans="1:20" x14ac:dyDescent="0.3">
      <c r="B8" s="13" t="s">
        <v>0</v>
      </c>
      <c r="C8" s="13" t="s">
        <v>10</v>
      </c>
      <c r="D8" s="13" t="s">
        <v>13</v>
      </c>
      <c r="E8" s="98">
        <v>24.6</v>
      </c>
      <c r="F8" s="103">
        <f t="shared" si="3"/>
        <v>33.698630136986303</v>
      </c>
      <c r="G8" s="99">
        <f t="shared" si="4"/>
        <v>32.800000000000004</v>
      </c>
      <c r="H8" s="100">
        <f t="shared" si="0"/>
        <v>26.999999999999996</v>
      </c>
      <c r="I8" s="13">
        <v>12</v>
      </c>
      <c r="J8" s="101"/>
      <c r="K8" s="101">
        <f t="shared" si="5"/>
        <v>404.38356164383561</v>
      </c>
      <c r="L8" s="102"/>
      <c r="M8" s="102">
        <f t="shared" si="1"/>
        <v>12</v>
      </c>
      <c r="O8" s="42">
        <f t="shared" si="2"/>
        <v>0</v>
      </c>
    </row>
    <row r="9" spans="1:20" x14ac:dyDescent="0.3">
      <c r="B9" s="13" t="s">
        <v>0</v>
      </c>
      <c r="C9" s="13" t="s">
        <v>10</v>
      </c>
      <c r="D9" s="13" t="s">
        <v>14</v>
      </c>
      <c r="E9" s="98">
        <v>24.6</v>
      </c>
      <c r="F9" s="103">
        <f t="shared" si="3"/>
        <v>33.698630136986303</v>
      </c>
      <c r="G9" s="99">
        <f t="shared" si="4"/>
        <v>32.800000000000004</v>
      </c>
      <c r="H9" s="100">
        <f t="shared" si="0"/>
        <v>26.999999999999996</v>
      </c>
      <c r="I9" s="13">
        <v>12</v>
      </c>
      <c r="J9" s="101" t="s">
        <v>15</v>
      </c>
      <c r="K9" s="101">
        <f t="shared" si="5"/>
        <v>404.38356164383561</v>
      </c>
      <c r="L9" s="102"/>
      <c r="M9" s="102">
        <f t="shared" si="1"/>
        <v>12</v>
      </c>
      <c r="O9" s="42">
        <f t="shared" si="2"/>
        <v>0</v>
      </c>
    </row>
    <row r="10" spans="1:20" x14ac:dyDescent="0.3">
      <c r="B10" s="13" t="s">
        <v>0</v>
      </c>
      <c r="C10" s="13" t="s">
        <v>10</v>
      </c>
      <c r="D10" s="13" t="s">
        <v>16</v>
      </c>
      <c r="E10" s="98">
        <v>24.6</v>
      </c>
      <c r="F10" s="103">
        <f t="shared" si="3"/>
        <v>33.698630136986303</v>
      </c>
      <c r="G10" s="99">
        <f t="shared" si="4"/>
        <v>32.800000000000004</v>
      </c>
      <c r="H10" s="100">
        <f t="shared" si="0"/>
        <v>26.999999999999996</v>
      </c>
      <c r="I10" s="13">
        <v>12</v>
      </c>
      <c r="J10" s="101"/>
      <c r="K10" s="101">
        <f t="shared" si="5"/>
        <v>404.38356164383561</v>
      </c>
      <c r="L10" s="102"/>
      <c r="M10" s="102">
        <f t="shared" si="1"/>
        <v>12</v>
      </c>
      <c r="O10" s="42">
        <f t="shared" si="2"/>
        <v>0</v>
      </c>
    </row>
    <row r="11" spans="1:20" x14ac:dyDescent="0.3">
      <c r="B11" s="13" t="s">
        <v>0</v>
      </c>
      <c r="C11" s="13" t="s">
        <v>10</v>
      </c>
      <c r="D11" s="13" t="s">
        <v>17</v>
      </c>
      <c r="E11" s="98">
        <v>31.5</v>
      </c>
      <c r="F11" s="103">
        <f t="shared" si="3"/>
        <v>43.150684931506852</v>
      </c>
      <c r="G11" s="99">
        <f t="shared" si="4"/>
        <v>42</v>
      </c>
      <c r="H11" s="100">
        <f t="shared" si="0"/>
        <v>27.000000000000007</v>
      </c>
      <c r="I11" s="13">
        <v>12</v>
      </c>
      <c r="J11" s="101"/>
      <c r="K11" s="101">
        <f t="shared" si="5"/>
        <v>517.80821917808225</v>
      </c>
      <c r="L11" s="102"/>
      <c r="M11" s="102">
        <f t="shared" si="1"/>
        <v>12</v>
      </c>
      <c r="O11" s="42">
        <f t="shared" si="2"/>
        <v>0</v>
      </c>
    </row>
    <row r="12" spans="1:20" x14ac:dyDescent="0.3">
      <c r="B12" s="13" t="s">
        <v>0</v>
      </c>
      <c r="C12" s="13" t="s">
        <v>18</v>
      </c>
      <c r="D12" s="13" t="s">
        <v>19</v>
      </c>
      <c r="E12" s="98">
        <v>13.36</v>
      </c>
      <c r="F12" s="103">
        <f t="shared" si="3"/>
        <v>18.301369863013697</v>
      </c>
      <c r="G12" s="99">
        <f t="shared" si="4"/>
        <v>17.813333333333333</v>
      </c>
      <c r="H12" s="100">
        <f t="shared" si="0"/>
        <v>26.999999999999996</v>
      </c>
      <c r="I12" s="13">
        <v>48</v>
      </c>
      <c r="J12" s="101"/>
      <c r="K12" s="101">
        <f t="shared" si="5"/>
        <v>878.46575342465746</v>
      </c>
      <c r="L12" s="102">
        <v>3</v>
      </c>
      <c r="M12" s="102">
        <f t="shared" si="1"/>
        <v>45</v>
      </c>
      <c r="O12" s="42">
        <f t="shared" si="2"/>
        <v>54.904109589041092</v>
      </c>
    </row>
    <row r="13" spans="1:20" x14ac:dyDescent="0.3">
      <c r="B13" s="13" t="s">
        <v>0</v>
      </c>
      <c r="C13" s="13" t="s">
        <v>18</v>
      </c>
      <c r="D13" s="13" t="s">
        <v>20</v>
      </c>
      <c r="E13" s="98">
        <v>13.36</v>
      </c>
      <c r="F13" s="103">
        <f t="shared" si="3"/>
        <v>18.301369863013697</v>
      </c>
      <c r="G13" s="99">
        <f t="shared" si="4"/>
        <v>17.813333333333333</v>
      </c>
      <c r="H13" s="100">
        <f t="shared" si="0"/>
        <v>26.999999999999996</v>
      </c>
      <c r="I13" s="13">
        <v>48</v>
      </c>
      <c r="J13" s="101"/>
      <c r="K13" s="101">
        <f t="shared" si="5"/>
        <v>878.46575342465746</v>
      </c>
      <c r="L13" s="102"/>
      <c r="M13" s="102">
        <f t="shared" si="1"/>
        <v>48</v>
      </c>
      <c r="O13" s="42">
        <f t="shared" si="2"/>
        <v>0</v>
      </c>
    </row>
    <row r="14" spans="1:20" x14ac:dyDescent="0.3">
      <c r="B14" s="13" t="s">
        <v>0</v>
      </c>
      <c r="C14" s="13" t="s">
        <v>18</v>
      </c>
      <c r="D14" s="13" t="s">
        <v>21</v>
      </c>
      <c r="E14" s="98">
        <v>13.36</v>
      </c>
      <c r="F14" s="103">
        <f t="shared" si="3"/>
        <v>18.301369863013697</v>
      </c>
      <c r="G14" s="99">
        <f t="shared" si="4"/>
        <v>17.813333333333333</v>
      </c>
      <c r="H14" s="100">
        <f t="shared" si="0"/>
        <v>26.999999999999996</v>
      </c>
      <c r="I14" s="13">
        <v>48</v>
      </c>
      <c r="J14" s="101"/>
      <c r="K14" s="101">
        <f t="shared" si="5"/>
        <v>878.46575342465746</v>
      </c>
      <c r="L14" s="102">
        <v>21</v>
      </c>
      <c r="M14" s="102">
        <f t="shared" si="1"/>
        <v>27</v>
      </c>
      <c r="O14" s="42">
        <f t="shared" si="2"/>
        <v>384.32876712328766</v>
      </c>
    </row>
    <row r="15" spans="1:20" x14ac:dyDescent="0.3">
      <c r="B15" s="13" t="s">
        <v>0</v>
      </c>
      <c r="C15" s="13" t="s">
        <v>18</v>
      </c>
      <c r="D15" s="13" t="s">
        <v>22</v>
      </c>
      <c r="E15" s="98">
        <v>14.5</v>
      </c>
      <c r="F15" s="103">
        <f t="shared" si="3"/>
        <v>19.863013698630137</v>
      </c>
      <c r="G15" s="99">
        <f t="shared" si="4"/>
        <v>19.333333333333332</v>
      </c>
      <c r="H15" s="100">
        <f t="shared" si="0"/>
        <v>27</v>
      </c>
      <c r="I15" s="13">
        <v>24</v>
      </c>
      <c r="J15" s="101"/>
      <c r="K15" s="101">
        <f t="shared" si="5"/>
        <v>476.71232876712327</v>
      </c>
      <c r="L15" s="102">
        <v>1</v>
      </c>
      <c r="M15" s="102">
        <f t="shared" si="1"/>
        <v>23</v>
      </c>
      <c r="O15" s="42">
        <f t="shared" si="2"/>
        <v>19.863013698630137</v>
      </c>
      <c r="T15">
        <f>21*3</f>
        <v>63</v>
      </c>
    </row>
    <row r="16" spans="1:20" x14ac:dyDescent="0.3">
      <c r="B16" s="13" t="s">
        <v>0</v>
      </c>
      <c r="C16" s="13" t="s">
        <v>18</v>
      </c>
      <c r="D16" s="13" t="s">
        <v>23</v>
      </c>
      <c r="E16" s="98">
        <v>14.5</v>
      </c>
      <c r="F16" s="103">
        <f t="shared" si="3"/>
        <v>19.863013698630137</v>
      </c>
      <c r="G16" s="99">
        <f t="shared" si="4"/>
        <v>19.333333333333332</v>
      </c>
      <c r="H16" s="100">
        <f t="shared" si="0"/>
        <v>27</v>
      </c>
      <c r="I16" s="13">
        <v>24</v>
      </c>
      <c r="J16" s="101"/>
      <c r="K16" s="101">
        <f t="shared" si="5"/>
        <v>476.71232876712327</v>
      </c>
      <c r="L16" s="102">
        <v>6</v>
      </c>
      <c r="M16" s="102">
        <f t="shared" si="1"/>
        <v>18</v>
      </c>
      <c r="O16" s="42">
        <f t="shared" si="2"/>
        <v>119.17808219178082</v>
      </c>
      <c r="T16">
        <f>100-63</f>
        <v>37</v>
      </c>
    </row>
    <row r="17" spans="2:15" x14ac:dyDescent="0.3">
      <c r="B17" s="13" t="s">
        <v>0</v>
      </c>
      <c r="C17" s="13" t="s">
        <v>18</v>
      </c>
      <c r="D17" s="13" t="s">
        <v>24</v>
      </c>
      <c r="E17" s="98">
        <v>13.36</v>
      </c>
      <c r="F17" s="103">
        <f t="shared" si="3"/>
        <v>18.301369863013697</v>
      </c>
      <c r="G17" s="99">
        <f t="shared" si="4"/>
        <v>17.813333333333333</v>
      </c>
      <c r="H17" s="100">
        <f t="shared" si="0"/>
        <v>26.999999999999996</v>
      </c>
      <c r="I17" s="13">
        <v>48</v>
      </c>
      <c r="J17" s="101"/>
      <c r="K17" s="101">
        <f t="shared" si="5"/>
        <v>878.46575342465746</v>
      </c>
      <c r="L17" s="102">
        <v>1</v>
      </c>
      <c r="M17" s="102">
        <f t="shared" si="1"/>
        <v>47</v>
      </c>
      <c r="O17" s="42">
        <f t="shared" si="2"/>
        <v>18.301369863013697</v>
      </c>
    </row>
    <row r="18" spans="2:15" x14ac:dyDescent="0.3">
      <c r="B18" s="13" t="s">
        <v>0</v>
      </c>
      <c r="C18" s="13" t="s">
        <v>18</v>
      </c>
      <c r="D18" s="13" t="s">
        <v>25</v>
      </c>
      <c r="E18" s="98">
        <v>13.36</v>
      </c>
      <c r="F18" s="103">
        <f t="shared" si="3"/>
        <v>18.301369863013697</v>
      </c>
      <c r="G18" s="99">
        <f t="shared" si="4"/>
        <v>17.813333333333333</v>
      </c>
      <c r="H18" s="100">
        <f t="shared" si="0"/>
        <v>26.999999999999996</v>
      </c>
      <c r="I18" s="13">
        <v>48</v>
      </c>
      <c r="J18" s="101"/>
      <c r="K18" s="101">
        <f t="shared" si="5"/>
        <v>878.46575342465746</v>
      </c>
      <c r="L18" s="102">
        <v>6</v>
      </c>
      <c r="M18" s="102">
        <f t="shared" si="1"/>
        <v>42</v>
      </c>
      <c r="O18" s="42">
        <f t="shared" si="2"/>
        <v>109.80821917808218</v>
      </c>
    </row>
    <row r="19" spans="2:15" x14ac:dyDescent="0.3">
      <c r="B19" s="13" t="s">
        <v>0</v>
      </c>
      <c r="C19" s="13" t="s">
        <v>26</v>
      </c>
      <c r="D19" s="13" t="s">
        <v>20</v>
      </c>
      <c r="E19" s="98">
        <v>12.38</v>
      </c>
      <c r="F19" s="103">
        <f t="shared" si="3"/>
        <v>16.958904109589042</v>
      </c>
      <c r="G19" s="99">
        <f t="shared" si="4"/>
        <v>16.506666666666668</v>
      </c>
      <c r="H19" s="100">
        <f t="shared" si="0"/>
        <v>27</v>
      </c>
      <c r="I19" s="13">
        <v>60</v>
      </c>
      <c r="J19" s="101"/>
      <c r="K19" s="101">
        <f t="shared" si="5"/>
        <v>1017.5342465753425</v>
      </c>
      <c r="L19" s="102"/>
      <c r="M19" s="102">
        <f t="shared" si="1"/>
        <v>60</v>
      </c>
      <c r="O19" s="42">
        <f t="shared" si="2"/>
        <v>0</v>
      </c>
    </row>
    <row r="20" spans="2:15" x14ac:dyDescent="0.3">
      <c r="B20" s="13" t="s">
        <v>0</v>
      </c>
      <c r="C20" s="13" t="s">
        <v>26</v>
      </c>
      <c r="D20" s="13" t="s">
        <v>19</v>
      </c>
      <c r="E20" s="98">
        <v>12.38</v>
      </c>
      <c r="F20" s="103">
        <f t="shared" si="3"/>
        <v>16.958904109589042</v>
      </c>
      <c r="G20" s="99">
        <f t="shared" si="4"/>
        <v>16.506666666666668</v>
      </c>
      <c r="H20" s="100">
        <f t="shared" si="0"/>
        <v>27</v>
      </c>
      <c r="I20" s="13">
        <v>60</v>
      </c>
      <c r="J20" s="101" t="s">
        <v>27</v>
      </c>
      <c r="K20" s="101">
        <f t="shared" si="5"/>
        <v>1017.5342465753425</v>
      </c>
      <c r="L20" s="102">
        <v>4</v>
      </c>
      <c r="M20" s="102">
        <f t="shared" si="1"/>
        <v>56</v>
      </c>
      <c r="O20" s="42">
        <f t="shared" si="2"/>
        <v>67.835616438356169</v>
      </c>
    </row>
    <row r="21" spans="2:15" x14ac:dyDescent="0.3">
      <c r="B21" s="13" t="s">
        <v>0</v>
      </c>
      <c r="C21" s="13" t="s">
        <v>26</v>
      </c>
      <c r="D21" s="13" t="s">
        <v>28</v>
      </c>
      <c r="E21" s="98">
        <v>12.38</v>
      </c>
      <c r="F21" s="103">
        <f t="shared" si="3"/>
        <v>16.958904109589042</v>
      </c>
      <c r="G21" s="99">
        <f t="shared" si="4"/>
        <v>16.506666666666668</v>
      </c>
      <c r="H21" s="100">
        <f t="shared" si="0"/>
        <v>27</v>
      </c>
      <c r="I21" s="13">
        <v>24</v>
      </c>
      <c r="J21" s="101"/>
      <c r="K21" s="101">
        <f t="shared" si="5"/>
        <v>407.01369863013701</v>
      </c>
      <c r="L21" s="102"/>
      <c r="M21" s="102">
        <f t="shared" si="1"/>
        <v>24</v>
      </c>
      <c r="O21" s="42">
        <f t="shared" si="2"/>
        <v>0</v>
      </c>
    </row>
    <row r="22" spans="2:15" x14ac:dyDescent="0.3">
      <c r="B22" s="13" t="s">
        <v>0</v>
      </c>
      <c r="C22" s="13" t="s">
        <v>26</v>
      </c>
      <c r="D22" s="13" t="s">
        <v>29</v>
      </c>
      <c r="E22" s="98">
        <v>12.38</v>
      </c>
      <c r="F22" s="103">
        <f t="shared" si="3"/>
        <v>16.958904109589042</v>
      </c>
      <c r="G22" s="99">
        <f t="shared" si="4"/>
        <v>16.506666666666668</v>
      </c>
      <c r="H22" s="100">
        <f t="shared" si="0"/>
        <v>27</v>
      </c>
      <c r="I22" s="13">
        <v>60</v>
      </c>
      <c r="J22" s="101"/>
      <c r="K22" s="101">
        <f t="shared" si="5"/>
        <v>1017.5342465753425</v>
      </c>
      <c r="L22" s="102">
        <v>2</v>
      </c>
      <c r="M22" s="102">
        <f t="shared" si="1"/>
        <v>58</v>
      </c>
      <c r="O22" s="42">
        <f t="shared" si="2"/>
        <v>33.917808219178085</v>
      </c>
    </row>
    <row r="23" spans="2:15" x14ac:dyDescent="0.3">
      <c r="B23" s="13" t="s">
        <v>0</v>
      </c>
      <c r="C23" s="13" t="s">
        <v>26</v>
      </c>
      <c r="D23" s="13" t="s">
        <v>21</v>
      </c>
      <c r="E23" s="98">
        <v>12.38</v>
      </c>
      <c r="F23" s="103">
        <f t="shared" si="3"/>
        <v>16.958904109589042</v>
      </c>
      <c r="G23" s="99">
        <f t="shared" si="4"/>
        <v>16.506666666666668</v>
      </c>
      <c r="H23" s="100">
        <f t="shared" si="0"/>
        <v>27</v>
      </c>
      <c r="I23" s="13">
        <v>60</v>
      </c>
      <c r="J23" s="101"/>
      <c r="K23" s="101">
        <f t="shared" si="5"/>
        <v>1017.5342465753425</v>
      </c>
      <c r="L23" s="102">
        <v>16</v>
      </c>
      <c r="M23" s="102">
        <f t="shared" si="1"/>
        <v>44</v>
      </c>
      <c r="O23" s="42">
        <f t="shared" si="2"/>
        <v>271.34246575342468</v>
      </c>
    </row>
    <row r="24" spans="2:15" x14ac:dyDescent="0.3">
      <c r="B24" s="13" t="s">
        <v>0</v>
      </c>
      <c r="C24" s="13" t="s">
        <v>26</v>
      </c>
      <c r="D24" s="13" t="s">
        <v>30</v>
      </c>
      <c r="E24" s="98">
        <v>13</v>
      </c>
      <c r="F24" s="103">
        <f t="shared" si="3"/>
        <v>17.808219178082194</v>
      </c>
      <c r="G24" s="99">
        <f t="shared" si="4"/>
        <v>17.333333333333332</v>
      </c>
      <c r="H24" s="100">
        <f t="shared" si="0"/>
        <v>27.000000000000007</v>
      </c>
      <c r="I24" s="13">
        <v>24</v>
      </c>
      <c r="J24" s="101"/>
      <c r="K24" s="101">
        <f t="shared" si="5"/>
        <v>427.39726027397262</v>
      </c>
      <c r="L24" s="102"/>
      <c r="M24" s="102">
        <f t="shared" si="1"/>
        <v>24</v>
      </c>
      <c r="O24" s="42">
        <f t="shared" si="2"/>
        <v>0</v>
      </c>
    </row>
    <row r="25" spans="2:15" x14ac:dyDescent="0.3">
      <c r="B25" s="13" t="s">
        <v>0</v>
      </c>
      <c r="C25" s="13" t="s">
        <v>26</v>
      </c>
      <c r="D25" s="13" t="s">
        <v>31</v>
      </c>
      <c r="E25" s="98">
        <v>13</v>
      </c>
      <c r="F25" s="103">
        <f t="shared" si="3"/>
        <v>17.808219178082194</v>
      </c>
      <c r="G25" s="99">
        <f t="shared" si="4"/>
        <v>17.333333333333332</v>
      </c>
      <c r="H25" s="100">
        <f t="shared" si="0"/>
        <v>27.000000000000007</v>
      </c>
      <c r="I25" s="13">
        <v>12</v>
      </c>
      <c r="J25" s="101"/>
      <c r="K25" s="101">
        <f t="shared" si="5"/>
        <v>213.69863013698631</v>
      </c>
      <c r="L25" s="102"/>
      <c r="M25" s="102">
        <f t="shared" si="1"/>
        <v>12</v>
      </c>
      <c r="O25" s="42">
        <f t="shared" si="2"/>
        <v>0</v>
      </c>
    </row>
    <row r="26" spans="2:15" x14ac:dyDescent="0.3">
      <c r="B26" s="13" t="s">
        <v>0</v>
      </c>
      <c r="C26" s="13" t="s">
        <v>26</v>
      </c>
      <c r="D26" s="13" t="s">
        <v>32</v>
      </c>
      <c r="E26" s="98">
        <v>13</v>
      </c>
      <c r="F26" s="103">
        <f t="shared" si="3"/>
        <v>17.808219178082194</v>
      </c>
      <c r="G26" s="99">
        <f t="shared" si="4"/>
        <v>17.333333333333332</v>
      </c>
      <c r="H26" s="100">
        <f t="shared" si="0"/>
        <v>27.000000000000007</v>
      </c>
      <c r="I26" s="13">
        <v>12</v>
      </c>
      <c r="J26" s="101"/>
      <c r="K26" s="101">
        <f t="shared" si="5"/>
        <v>213.69863013698631</v>
      </c>
      <c r="L26" s="102"/>
      <c r="M26" s="102">
        <f t="shared" si="1"/>
        <v>12</v>
      </c>
      <c r="O26" s="42">
        <f t="shared" si="2"/>
        <v>0</v>
      </c>
    </row>
    <row r="27" spans="2:15" x14ac:dyDescent="0.3">
      <c r="B27" s="13" t="s">
        <v>0</v>
      </c>
      <c r="C27" s="13" t="s">
        <v>26</v>
      </c>
      <c r="D27" s="13" t="s">
        <v>33</v>
      </c>
      <c r="E27" s="98">
        <v>13</v>
      </c>
      <c r="F27" s="103">
        <f t="shared" si="3"/>
        <v>17.808219178082194</v>
      </c>
      <c r="G27" s="99">
        <f t="shared" si="4"/>
        <v>17.333333333333332</v>
      </c>
      <c r="H27" s="100">
        <f t="shared" si="0"/>
        <v>27.000000000000007</v>
      </c>
      <c r="I27" s="13">
        <v>48</v>
      </c>
      <c r="J27" s="101"/>
      <c r="K27" s="101">
        <f t="shared" si="5"/>
        <v>854.79452054794524</v>
      </c>
      <c r="L27" s="102">
        <v>1</v>
      </c>
      <c r="M27" s="102">
        <f t="shared" si="1"/>
        <v>47</v>
      </c>
      <c r="O27" s="42">
        <f t="shared" si="2"/>
        <v>17.808219178082194</v>
      </c>
    </row>
    <row r="28" spans="2:15" x14ac:dyDescent="0.3">
      <c r="B28" s="13" t="s">
        <v>0</v>
      </c>
      <c r="C28" s="13" t="s">
        <v>34</v>
      </c>
      <c r="D28" s="13" t="s">
        <v>35</v>
      </c>
      <c r="E28" s="98">
        <v>29.99</v>
      </c>
      <c r="F28" s="103">
        <f t="shared" si="3"/>
        <v>41.082191780821915</v>
      </c>
      <c r="G28" s="99">
        <f t="shared" si="4"/>
        <v>39.986666666666665</v>
      </c>
      <c r="H28" s="100">
        <f t="shared" si="0"/>
        <v>27</v>
      </c>
      <c r="I28" s="13">
        <v>6</v>
      </c>
      <c r="J28" s="101"/>
      <c r="K28" s="101">
        <f t="shared" si="5"/>
        <v>246.49315068493149</v>
      </c>
      <c r="L28" s="102"/>
      <c r="M28" s="102">
        <f t="shared" si="1"/>
        <v>6</v>
      </c>
      <c r="O28" s="42">
        <f t="shared" si="2"/>
        <v>0</v>
      </c>
    </row>
    <row r="29" spans="2:15" x14ac:dyDescent="0.3">
      <c r="B29" s="13" t="s">
        <v>0</v>
      </c>
      <c r="C29" s="13" t="s">
        <v>34</v>
      </c>
      <c r="D29" s="13" t="s">
        <v>36</v>
      </c>
      <c r="E29" s="98">
        <v>29.99</v>
      </c>
      <c r="F29" s="103">
        <f t="shared" si="3"/>
        <v>41.082191780821915</v>
      </c>
      <c r="G29" s="99">
        <f t="shared" si="4"/>
        <v>39.986666666666665</v>
      </c>
      <c r="H29" s="100">
        <f t="shared" si="0"/>
        <v>27</v>
      </c>
      <c r="I29" s="13">
        <v>6</v>
      </c>
      <c r="J29" s="101"/>
      <c r="K29" s="101">
        <f t="shared" si="5"/>
        <v>246.49315068493149</v>
      </c>
      <c r="L29" s="102">
        <v>1</v>
      </c>
      <c r="M29" s="102">
        <f t="shared" si="1"/>
        <v>5</v>
      </c>
      <c r="O29" s="42">
        <f t="shared" si="2"/>
        <v>41.082191780821915</v>
      </c>
    </row>
    <row r="30" spans="2:15" x14ac:dyDescent="0.3">
      <c r="B30" s="13" t="s">
        <v>0</v>
      </c>
      <c r="C30" s="13" t="s">
        <v>34</v>
      </c>
      <c r="D30" s="13" t="s">
        <v>37</v>
      </c>
      <c r="E30" s="98">
        <v>29.99</v>
      </c>
      <c r="F30" s="103">
        <f t="shared" si="3"/>
        <v>41.082191780821915</v>
      </c>
      <c r="G30" s="99">
        <f t="shared" si="4"/>
        <v>39.986666666666665</v>
      </c>
      <c r="H30" s="100">
        <f t="shared" si="0"/>
        <v>27</v>
      </c>
      <c r="I30" s="13">
        <v>6</v>
      </c>
      <c r="J30" s="101"/>
      <c r="K30" s="101">
        <f t="shared" si="5"/>
        <v>246.49315068493149</v>
      </c>
      <c r="L30" s="102"/>
      <c r="M30" s="102">
        <f t="shared" si="1"/>
        <v>6</v>
      </c>
      <c r="O30" s="42">
        <f t="shared" si="2"/>
        <v>0</v>
      </c>
    </row>
    <row r="31" spans="2:15" x14ac:dyDescent="0.3">
      <c r="B31" s="13" t="s">
        <v>0</v>
      </c>
      <c r="C31" s="13" t="s">
        <v>34</v>
      </c>
      <c r="D31" s="13" t="s">
        <v>14</v>
      </c>
      <c r="E31" s="98">
        <v>29.99</v>
      </c>
      <c r="F31" s="103">
        <f t="shared" si="3"/>
        <v>41.082191780821915</v>
      </c>
      <c r="G31" s="99">
        <f t="shared" si="4"/>
        <v>39.986666666666665</v>
      </c>
      <c r="H31" s="100">
        <f t="shared" si="0"/>
        <v>27</v>
      </c>
      <c r="I31" s="13">
        <v>6</v>
      </c>
      <c r="J31" s="101"/>
      <c r="K31" s="101">
        <f t="shared" si="5"/>
        <v>246.49315068493149</v>
      </c>
      <c r="L31" s="102"/>
      <c r="M31" s="102">
        <f t="shared" si="1"/>
        <v>6</v>
      </c>
      <c r="O31" s="42">
        <f t="shared" si="2"/>
        <v>0</v>
      </c>
    </row>
    <row r="32" spans="2:15" x14ac:dyDescent="0.3">
      <c r="B32" s="13" t="s">
        <v>0</v>
      </c>
      <c r="C32" s="13" t="s">
        <v>34</v>
      </c>
      <c r="D32" s="13" t="s">
        <v>38</v>
      </c>
      <c r="E32" s="98">
        <v>29.99</v>
      </c>
      <c r="F32" s="103">
        <f t="shared" si="3"/>
        <v>41.082191780821915</v>
      </c>
      <c r="G32" s="99">
        <f t="shared" si="4"/>
        <v>39.986666666666665</v>
      </c>
      <c r="H32" s="100">
        <f t="shared" si="0"/>
        <v>27</v>
      </c>
      <c r="I32" s="13">
        <v>6</v>
      </c>
      <c r="J32" s="101"/>
      <c r="K32" s="101">
        <f t="shared" si="5"/>
        <v>246.49315068493149</v>
      </c>
      <c r="L32" s="102"/>
      <c r="M32" s="102">
        <f t="shared" si="1"/>
        <v>6</v>
      </c>
      <c r="O32" s="42">
        <f t="shared" si="2"/>
        <v>0</v>
      </c>
    </row>
    <row r="33" spans="2:15" x14ac:dyDescent="0.3">
      <c r="B33" s="13" t="s">
        <v>0</v>
      </c>
      <c r="C33" s="13" t="s">
        <v>34</v>
      </c>
      <c r="D33" s="13" t="s">
        <v>39</v>
      </c>
      <c r="E33" s="98">
        <v>29.99</v>
      </c>
      <c r="F33" s="103">
        <f t="shared" si="3"/>
        <v>41.082191780821915</v>
      </c>
      <c r="G33" s="99">
        <f t="shared" si="4"/>
        <v>39.986666666666665</v>
      </c>
      <c r="H33" s="100">
        <f t="shared" si="0"/>
        <v>27</v>
      </c>
      <c r="I33" s="13">
        <v>6</v>
      </c>
      <c r="J33" s="101"/>
      <c r="K33" s="101">
        <f t="shared" si="5"/>
        <v>246.49315068493149</v>
      </c>
      <c r="L33" s="102"/>
      <c r="M33" s="102">
        <f t="shared" si="1"/>
        <v>6</v>
      </c>
      <c r="O33" s="42">
        <f t="shared" si="2"/>
        <v>0</v>
      </c>
    </row>
    <row r="34" spans="2:15" x14ac:dyDescent="0.3">
      <c r="B34" s="13" t="s">
        <v>0</v>
      </c>
      <c r="C34" s="13" t="s">
        <v>40</v>
      </c>
      <c r="D34" s="13" t="s">
        <v>41</v>
      </c>
      <c r="E34" s="98">
        <v>18.989999999999998</v>
      </c>
      <c r="F34" s="103">
        <f t="shared" si="3"/>
        <v>26.013698630136986</v>
      </c>
      <c r="G34" s="99">
        <f t="shared" si="4"/>
        <v>25.319999999999997</v>
      </c>
      <c r="H34" s="100">
        <f t="shared" si="0"/>
        <v>27.000000000000007</v>
      </c>
      <c r="I34" s="13">
        <v>12</v>
      </c>
      <c r="J34" s="101"/>
      <c r="K34" s="101">
        <f t="shared" si="5"/>
        <v>312.16438356164383</v>
      </c>
      <c r="L34" s="102"/>
      <c r="M34" s="102">
        <f t="shared" si="1"/>
        <v>12</v>
      </c>
      <c r="O34" s="42">
        <f t="shared" si="2"/>
        <v>0</v>
      </c>
    </row>
    <row r="35" spans="2:15" x14ac:dyDescent="0.3">
      <c r="B35" s="13" t="s">
        <v>0</v>
      </c>
      <c r="C35" s="13" t="s">
        <v>40</v>
      </c>
      <c r="D35" s="13" t="s">
        <v>42</v>
      </c>
      <c r="E35" s="98">
        <v>18.989999999999998</v>
      </c>
      <c r="F35" s="103">
        <f t="shared" si="3"/>
        <v>26.013698630136986</v>
      </c>
      <c r="G35" s="99">
        <f t="shared" si="4"/>
        <v>25.319999999999997</v>
      </c>
      <c r="H35" s="100">
        <f t="shared" si="0"/>
        <v>27.000000000000007</v>
      </c>
      <c r="I35" s="13">
        <v>12</v>
      </c>
      <c r="J35" s="101"/>
      <c r="K35" s="101">
        <f t="shared" si="5"/>
        <v>312.16438356164383</v>
      </c>
      <c r="L35" s="102"/>
      <c r="M35" s="102">
        <f t="shared" si="1"/>
        <v>12</v>
      </c>
      <c r="O35" s="42">
        <f t="shared" si="2"/>
        <v>0</v>
      </c>
    </row>
    <row r="36" spans="2:15" x14ac:dyDescent="0.3">
      <c r="B36" s="13" t="s">
        <v>0</v>
      </c>
      <c r="C36" s="13" t="s">
        <v>40</v>
      </c>
      <c r="D36" s="13" t="s">
        <v>43</v>
      </c>
      <c r="E36" s="98">
        <v>18.989999999999998</v>
      </c>
      <c r="F36" s="103">
        <f t="shared" si="3"/>
        <v>26.013698630136986</v>
      </c>
      <c r="G36" s="99">
        <f t="shared" si="4"/>
        <v>25.319999999999997</v>
      </c>
      <c r="H36" s="100">
        <f t="shared" si="0"/>
        <v>27.000000000000007</v>
      </c>
      <c r="I36" s="13">
        <v>12</v>
      </c>
      <c r="J36" s="101"/>
      <c r="K36" s="101">
        <f t="shared" si="5"/>
        <v>312.16438356164383</v>
      </c>
      <c r="L36" s="102">
        <v>2</v>
      </c>
      <c r="M36" s="102">
        <f t="shared" si="1"/>
        <v>10</v>
      </c>
      <c r="O36" s="42">
        <f t="shared" si="2"/>
        <v>52.027397260273972</v>
      </c>
    </row>
    <row r="37" spans="2:15" x14ac:dyDescent="0.3">
      <c r="B37" s="1" t="s">
        <v>44</v>
      </c>
      <c r="C37" s="1" t="s">
        <v>18</v>
      </c>
      <c r="D37" s="1" t="s">
        <v>45</v>
      </c>
      <c r="E37" s="46">
        <v>29</v>
      </c>
      <c r="F37" s="103">
        <f t="shared" si="3"/>
        <v>39.726027397260275</v>
      </c>
      <c r="G37" s="8">
        <f t="shared" si="4"/>
        <v>38.666666666666664</v>
      </c>
      <c r="H37" s="37">
        <f t="shared" si="0"/>
        <v>27</v>
      </c>
      <c r="I37" s="1">
        <v>6</v>
      </c>
      <c r="J37" s="2"/>
      <c r="K37" s="2">
        <f t="shared" si="5"/>
        <v>238.35616438356163</v>
      </c>
      <c r="L37" s="12"/>
      <c r="M37" s="12">
        <f t="shared" si="1"/>
        <v>6</v>
      </c>
      <c r="O37" s="42">
        <f t="shared" si="2"/>
        <v>0</v>
      </c>
    </row>
    <row r="38" spans="2:15" x14ac:dyDescent="0.3">
      <c r="B38" s="1" t="s">
        <v>44</v>
      </c>
      <c r="C38" s="1" t="s">
        <v>18</v>
      </c>
      <c r="D38" s="1" t="s">
        <v>46</v>
      </c>
      <c r="E38" s="46">
        <v>29</v>
      </c>
      <c r="F38" s="103">
        <f t="shared" si="3"/>
        <v>39.726027397260275</v>
      </c>
      <c r="G38" s="8">
        <f t="shared" si="4"/>
        <v>38.666666666666664</v>
      </c>
      <c r="H38" s="37">
        <f t="shared" si="0"/>
        <v>27</v>
      </c>
      <c r="I38" s="1">
        <v>4</v>
      </c>
      <c r="J38" s="2"/>
      <c r="K38" s="2">
        <f t="shared" si="5"/>
        <v>158.9041095890411</v>
      </c>
      <c r="L38" s="12">
        <v>1</v>
      </c>
      <c r="M38" s="12">
        <f t="shared" si="1"/>
        <v>3</v>
      </c>
      <c r="O38" s="42">
        <f t="shared" si="2"/>
        <v>39.726027397260275</v>
      </c>
    </row>
    <row r="39" spans="2:15" x14ac:dyDescent="0.3">
      <c r="B39" s="1" t="s">
        <v>44</v>
      </c>
      <c r="C39" s="1" t="s">
        <v>18</v>
      </c>
      <c r="D39" s="1" t="s">
        <v>47</v>
      </c>
      <c r="E39" s="46">
        <v>26</v>
      </c>
      <c r="F39" s="103">
        <f t="shared" si="3"/>
        <v>35.616438356164387</v>
      </c>
      <c r="G39" s="8">
        <f t="shared" si="4"/>
        <v>34.666666666666664</v>
      </c>
      <c r="H39" s="37">
        <f t="shared" si="0"/>
        <v>27.000000000000007</v>
      </c>
      <c r="I39" s="1">
        <v>11</v>
      </c>
      <c r="J39" s="2"/>
      <c r="K39" s="2">
        <f t="shared" si="5"/>
        <v>391.78082191780828</v>
      </c>
      <c r="L39" s="12">
        <v>5</v>
      </c>
      <c r="M39" s="12">
        <f t="shared" si="1"/>
        <v>6</v>
      </c>
      <c r="O39" s="42">
        <f t="shared" si="2"/>
        <v>178.08219178082194</v>
      </c>
    </row>
    <row r="40" spans="2:15" x14ac:dyDescent="0.3">
      <c r="B40" s="1" t="s">
        <v>44</v>
      </c>
      <c r="C40" s="1" t="s">
        <v>18</v>
      </c>
      <c r="D40" s="1" t="s">
        <v>48</v>
      </c>
      <c r="E40" s="46">
        <v>26</v>
      </c>
      <c r="F40" s="103">
        <f t="shared" si="3"/>
        <v>35.616438356164387</v>
      </c>
      <c r="G40" s="8">
        <f t="shared" si="4"/>
        <v>34.666666666666664</v>
      </c>
      <c r="H40" s="37">
        <f t="shared" si="0"/>
        <v>27.000000000000007</v>
      </c>
      <c r="I40" s="1">
        <v>9</v>
      </c>
      <c r="J40" s="2"/>
      <c r="K40" s="2">
        <f t="shared" si="5"/>
        <v>320.54794520547949</v>
      </c>
      <c r="L40" s="12">
        <v>4</v>
      </c>
      <c r="M40" s="12">
        <f t="shared" si="1"/>
        <v>5</v>
      </c>
      <c r="O40" s="42">
        <f t="shared" si="2"/>
        <v>142.46575342465755</v>
      </c>
    </row>
    <row r="41" spans="2:15" x14ac:dyDescent="0.3">
      <c r="B41" s="1" t="s">
        <v>44</v>
      </c>
      <c r="C41" s="1" t="s">
        <v>18</v>
      </c>
      <c r="D41" s="1" t="s">
        <v>49</v>
      </c>
      <c r="E41" s="46">
        <v>26</v>
      </c>
      <c r="F41" s="103">
        <f t="shared" si="3"/>
        <v>35.616438356164387</v>
      </c>
      <c r="G41" s="8">
        <f t="shared" si="4"/>
        <v>34.666666666666664</v>
      </c>
      <c r="H41" s="37">
        <f t="shared" si="0"/>
        <v>27.000000000000007</v>
      </c>
      <c r="I41" s="1">
        <v>9</v>
      </c>
      <c r="J41" s="2"/>
      <c r="K41" s="2">
        <f t="shared" si="5"/>
        <v>320.54794520547949</v>
      </c>
      <c r="L41" s="12">
        <v>4</v>
      </c>
      <c r="M41" s="12">
        <f t="shared" si="1"/>
        <v>5</v>
      </c>
      <c r="O41" s="42">
        <f t="shared" si="2"/>
        <v>142.46575342465755</v>
      </c>
    </row>
    <row r="42" spans="2:15" x14ac:dyDescent="0.3">
      <c r="B42" s="1" t="s">
        <v>44</v>
      </c>
      <c r="C42" s="1" t="s">
        <v>18</v>
      </c>
      <c r="D42" s="1" t="s">
        <v>50</v>
      </c>
      <c r="E42" s="46">
        <v>15.3</v>
      </c>
      <c r="F42" s="103">
        <f t="shared" si="3"/>
        <v>20.958904109589042</v>
      </c>
      <c r="G42" s="8">
        <f t="shared" si="4"/>
        <v>20.400000000000002</v>
      </c>
      <c r="H42" s="37">
        <f t="shared" si="0"/>
        <v>27</v>
      </c>
      <c r="I42" s="1">
        <v>6</v>
      </c>
      <c r="J42" s="2"/>
      <c r="K42" s="2">
        <f t="shared" si="5"/>
        <v>125.75342465753425</v>
      </c>
      <c r="L42" s="12">
        <v>1</v>
      </c>
      <c r="M42" s="12">
        <f t="shared" si="1"/>
        <v>5</v>
      </c>
      <c r="O42" s="42">
        <f t="shared" si="2"/>
        <v>20.958904109589042</v>
      </c>
    </row>
    <row r="43" spans="2:15" x14ac:dyDescent="0.3">
      <c r="B43" s="1" t="s">
        <v>44</v>
      </c>
      <c r="C43" s="1" t="s">
        <v>18</v>
      </c>
      <c r="D43" s="1" t="s">
        <v>51</v>
      </c>
      <c r="E43" s="46">
        <v>15.3</v>
      </c>
      <c r="F43" s="103">
        <f t="shared" si="3"/>
        <v>20.958904109589042</v>
      </c>
      <c r="G43" s="8">
        <f t="shared" si="4"/>
        <v>20.400000000000002</v>
      </c>
      <c r="H43" s="37">
        <f t="shared" si="0"/>
        <v>27</v>
      </c>
      <c r="I43" s="1">
        <v>6</v>
      </c>
      <c r="J43" s="2"/>
      <c r="K43" s="2">
        <f t="shared" si="5"/>
        <v>125.75342465753425</v>
      </c>
      <c r="L43" s="12">
        <v>2</v>
      </c>
      <c r="M43" s="12">
        <f t="shared" si="1"/>
        <v>4</v>
      </c>
      <c r="O43" s="42">
        <f t="shared" si="2"/>
        <v>41.917808219178085</v>
      </c>
    </row>
    <row r="44" spans="2:15" x14ac:dyDescent="0.3">
      <c r="B44" s="1" t="s">
        <v>44</v>
      </c>
      <c r="C44" s="1" t="s">
        <v>18</v>
      </c>
      <c r="D44" s="1" t="s">
        <v>52</v>
      </c>
      <c r="E44" s="46">
        <v>15.3</v>
      </c>
      <c r="F44" s="103">
        <f t="shared" si="3"/>
        <v>20.958904109589042</v>
      </c>
      <c r="G44" s="8">
        <f t="shared" si="4"/>
        <v>20.400000000000002</v>
      </c>
      <c r="H44" s="37">
        <f t="shared" si="0"/>
        <v>27</v>
      </c>
      <c r="I44" s="1">
        <v>6</v>
      </c>
      <c r="J44" s="2"/>
      <c r="K44" s="2">
        <f t="shared" si="5"/>
        <v>125.75342465753425</v>
      </c>
      <c r="L44" s="12">
        <v>2</v>
      </c>
      <c r="M44" s="12">
        <f t="shared" si="1"/>
        <v>4</v>
      </c>
      <c r="O44" s="42">
        <f t="shared" si="2"/>
        <v>41.917808219178085</v>
      </c>
    </row>
    <row r="45" spans="2:15" x14ac:dyDescent="0.3">
      <c r="B45" s="1" t="s">
        <v>44</v>
      </c>
      <c r="C45" s="1" t="s">
        <v>18</v>
      </c>
      <c r="D45" s="1" t="s">
        <v>53</v>
      </c>
      <c r="E45" s="46">
        <v>15.3</v>
      </c>
      <c r="F45" s="103">
        <f t="shared" si="3"/>
        <v>20.958904109589042</v>
      </c>
      <c r="G45" s="8">
        <f t="shared" si="4"/>
        <v>20.400000000000002</v>
      </c>
      <c r="H45" s="37">
        <f t="shared" si="0"/>
        <v>27</v>
      </c>
      <c r="I45" s="1">
        <v>6</v>
      </c>
      <c r="J45" s="2"/>
      <c r="K45" s="2">
        <f t="shared" si="5"/>
        <v>125.75342465753425</v>
      </c>
      <c r="L45" s="12"/>
      <c r="M45" s="12">
        <f t="shared" si="1"/>
        <v>6</v>
      </c>
      <c r="O45" s="42">
        <f t="shared" si="2"/>
        <v>0</v>
      </c>
    </row>
    <row r="46" spans="2:15" x14ac:dyDescent="0.3">
      <c r="B46" s="1" t="s">
        <v>44</v>
      </c>
      <c r="C46" s="1" t="s">
        <v>26</v>
      </c>
      <c r="D46" s="1" t="s">
        <v>54</v>
      </c>
      <c r="E46" s="46">
        <v>22.66</v>
      </c>
      <c r="F46" s="103">
        <f t="shared" si="3"/>
        <v>31.041095890410961</v>
      </c>
      <c r="G46" s="8">
        <f t="shared" si="4"/>
        <v>30.213333333333335</v>
      </c>
      <c r="H46" s="37">
        <f t="shared" si="0"/>
        <v>27.000000000000007</v>
      </c>
      <c r="I46" s="1">
        <v>12</v>
      </c>
      <c r="J46" s="2"/>
      <c r="K46" s="2">
        <f t="shared" si="5"/>
        <v>372.49315068493155</v>
      </c>
      <c r="L46" s="12">
        <v>2</v>
      </c>
      <c r="M46" s="12">
        <f t="shared" si="1"/>
        <v>10</v>
      </c>
      <c r="O46" s="42">
        <f t="shared" si="2"/>
        <v>62.082191780821923</v>
      </c>
    </row>
    <row r="47" spans="2:15" x14ac:dyDescent="0.3">
      <c r="B47" s="1" t="s">
        <v>44</v>
      </c>
      <c r="C47" s="1" t="s">
        <v>26</v>
      </c>
      <c r="D47" s="1" t="s">
        <v>55</v>
      </c>
      <c r="E47" s="46">
        <v>22.66</v>
      </c>
      <c r="F47" s="103">
        <f t="shared" si="3"/>
        <v>31.041095890410961</v>
      </c>
      <c r="G47" s="8">
        <f t="shared" si="4"/>
        <v>30.213333333333335</v>
      </c>
      <c r="H47" s="37">
        <f t="shared" si="0"/>
        <v>27.000000000000007</v>
      </c>
      <c r="I47" s="1">
        <v>48</v>
      </c>
      <c r="J47" s="2"/>
      <c r="K47" s="2">
        <f t="shared" si="5"/>
        <v>1489.9726027397262</v>
      </c>
      <c r="L47" s="12">
        <v>1</v>
      </c>
      <c r="M47" s="12">
        <f t="shared" si="1"/>
        <v>47</v>
      </c>
      <c r="O47" s="42">
        <f t="shared" si="2"/>
        <v>31.041095890410961</v>
      </c>
    </row>
    <row r="48" spans="2:15" x14ac:dyDescent="0.3">
      <c r="B48" s="1" t="s">
        <v>44</v>
      </c>
      <c r="C48" s="1" t="s">
        <v>26</v>
      </c>
      <c r="D48" s="1" t="s">
        <v>56</v>
      </c>
      <c r="E48" s="46">
        <v>22.66</v>
      </c>
      <c r="F48" s="103">
        <f t="shared" si="3"/>
        <v>31.041095890410961</v>
      </c>
      <c r="G48" s="8">
        <f t="shared" si="4"/>
        <v>30.213333333333335</v>
      </c>
      <c r="H48" s="37">
        <f t="shared" si="0"/>
        <v>27.000000000000007</v>
      </c>
      <c r="I48" s="1">
        <v>48</v>
      </c>
      <c r="J48" s="2"/>
      <c r="K48" s="2">
        <f t="shared" si="5"/>
        <v>1489.9726027397262</v>
      </c>
      <c r="L48" s="12">
        <v>1</v>
      </c>
      <c r="M48" s="12">
        <f t="shared" si="1"/>
        <v>47</v>
      </c>
      <c r="O48" s="42">
        <f t="shared" si="2"/>
        <v>31.041095890410961</v>
      </c>
    </row>
    <row r="49" spans="1:15" x14ac:dyDescent="0.3">
      <c r="B49" s="1" t="s">
        <v>57</v>
      </c>
      <c r="C49" s="1" t="s">
        <v>58</v>
      </c>
      <c r="D49" s="1" t="s">
        <v>59</v>
      </c>
      <c r="E49" s="46">
        <v>63.83</v>
      </c>
      <c r="F49" s="103">
        <f t="shared" si="3"/>
        <v>87.438356164383563</v>
      </c>
      <c r="G49" s="8">
        <f t="shared" si="4"/>
        <v>85.106666666666669</v>
      </c>
      <c r="H49" s="37">
        <f t="shared" si="0"/>
        <v>27</v>
      </c>
      <c r="I49" s="1">
        <v>6</v>
      </c>
      <c r="J49" s="2"/>
      <c r="K49" s="2">
        <f t="shared" si="5"/>
        <v>524.63013698630141</v>
      </c>
      <c r="L49" s="12">
        <v>2</v>
      </c>
      <c r="M49" s="12">
        <f t="shared" si="1"/>
        <v>4</v>
      </c>
      <c r="O49" s="42">
        <f t="shared" si="2"/>
        <v>174.87671232876713</v>
      </c>
    </row>
    <row r="50" spans="1:15" x14ac:dyDescent="0.3">
      <c r="B50" s="1" t="s">
        <v>57</v>
      </c>
      <c r="C50" s="1" t="s">
        <v>58</v>
      </c>
      <c r="D50" s="1" t="s">
        <v>60</v>
      </c>
      <c r="E50" s="46">
        <v>63.83</v>
      </c>
      <c r="F50" s="103">
        <f t="shared" si="3"/>
        <v>87.438356164383563</v>
      </c>
      <c r="G50" s="8">
        <f t="shared" si="4"/>
        <v>85.106666666666669</v>
      </c>
      <c r="H50" s="37">
        <f t="shared" si="0"/>
        <v>27</v>
      </c>
      <c r="I50" s="1">
        <v>6</v>
      </c>
      <c r="J50" s="2"/>
      <c r="K50" s="2">
        <f t="shared" si="5"/>
        <v>524.63013698630141</v>
      </c>
      <c r="L50" s="12">
        <v>3</v>
      </c>
      <c r="M50" s="12">
        <f t="shared" si="1"/>
        <v>3</v>
      </c>
      <c r="O50" s="42">
        <f t="shared" si="2"/>
        <v>262.3150684931507</v>
      </c>
    </row>
    <row r="51" spans="1:15" x14ac:dyDescent="0.3">
      <c r="B51" s="1" t="s">
        <v>57</v>
      </c>
      <c r="C51" s="1" t="s">
        <v>61</v>
      </c>
      <c r="D51" s="1" t="s">
        <v>62</v>
      </c>
      <c r="E51" s="46">
        <v>68.400000000000006</v>
      </c>
      <c r="F51" s="103">
        <f t="shared" si="3"/>
        <v>93.69863013698631</v>
      </c>
      <c r="G51" s="8">
        <f t="shared" si="4"/>
        <v>91.2</v>
      </c>
      <c r="H51" s="37">
        <f t="shared" si="0"/>
        <v>27</v>
      </c>
      <c r="I51" s="1">
        <v>6</v>
      </c>
      <c r="J51" s="2"/>
      <c r="K51" s="2">
        <f t="shared" si="5"/>
        <v>562.19178082191786</v>
      </c>
      <c r="L51" s="12">
        <v>3</v>
      </c>
      <c r="M51" s="12">
        <f t="shared" si="1"/>
        <v>3</v>
      </c>
      <c r="O51" s="42">
        <f t="shared" si="2"/>
        <v>281.09589041095893</v>
      </c>
    </row>
    <row r="52" spans="1:15" x14ac:dyDescent="0.3">
      <c r="B52" s="1" t="s">
        <v>57</v>
      </c>
      <c r="C52" s="1" t="s">
        <v>61</v>
      </c>
      <c r="D52" s="1" t="s">
        <v>20</v>
      </c>
      <c r="E52" s="46">
        <v>68.400000000000006</v>
      </c>
      <c r="F52" s="103">
        <f t="shared" si="3"/>
        <v>93.69863013698631</v>
      </c>
      <c r="G52" s="8">
        <f t="shared" si="4"/>
        <v>91.2</v>
      </c>
      <c r="H52" s="37">
        <f t="shared" si="0"/>
        <v>27</v>
      </c>
      <c r="I52" s="1">
        <v>6</v>
      </c>
      <c r="J52" s="2"/>
      <c r="K52" s="2">
        <f t="shared" si="5"/>
        <v>562.19178082191786</v>
      </c>
      <c r="L52" s="12"/>
      <c r="M52" s="12">
        <f t="shared" si="1"/>
        <v>6</v>
      </c>
      <c r="O52" s="42">
        <f t="shared" si="2"/>
        <v>0</v>
      </c>
    </row>
    <row r="53" spans="1:15" x14ac:dyDescent="0.3">
      <c r="B53" s="1" t="s">
        <v>63</v>
      </c>
      <c r="C53" s="1" t="s">
        <v>64</v>
      </c>
      <c r="D53" s="1" t="s">
        <v>65</v>
      </c>
      <c r="E53" s="46">
        <v>36.799999999999997</v>
      </c>
      <c r="F53" s="103">
        <f t="shared" si="3"/>
        <v>50.410958904109584</v>
      </c>
      <c r="G53" s="8">
        <f t="shared" si="4"/>
        <v>49.066666666666663</v>
      </c>
      <c r="H53" s="37">
        <f t="shared" si="0"/>
        <v>27</v>
      </c>
      <c r="I53" s="1">
        <v>12</v>
      </c>
      <c r="J53" s="2"/>
      <c r="K53" s="2">
        <f t="shared" si="5"/>
        <v>604.93150684931504</v>
      </c>
      <c r="L53" s="12"/>
      <c r="M53" s="12">
        <f t="shared" si="1"/>
        <v>12</v>
      </c>
      <c r="O53" s="42">
        <f t="shared" si="2"/>
        <v>0</v>
      </c>
    </row>
    <row r="54" spans="1:15" x14ac:dyDescent="0.3">
      <c r="B54" s="1" t="s">
        <v>63</v>
      </c>
      <c r="C54" s="1" t="s">
        <v>66</v>
      </c>
      <c r="D54" s="1" t="s">
        <v>65</v>
      </c>
      <c r="E54" s="46">
        <v>88.9</v>
      </c>
      <c r="F54" s="103">
        <f t="shared" si="3"/>
        <v>121.78082191780823</v>
      </c>
      <c r="G54" s="8">
        <f t="shared" si="4"/>
        <v>118.53333333333335</v>
      </c>
      <c r="H54" s="37">
        <f t="shared" si="0"/>
        <v>27</v>
      </c>
      <c r="I54" s="1">
        <v>6</v>
      </c>
      <c r="J54" s="2"/>
      <c r="K54" s="2">
        <f t="shared" si="5"/>
        <v>730.68493150684935</v>
      </c>
      <c r="L54" s="12"/>
      <c r="M54" s="12">
        <f t="shared" si="1"/>
        <v>6</v>
      </c>
      <c r="O54" s="42">
        <f t="shared" si="2"/>
        <v>0</v>
      </c>
    </row>
    <row r="55" spans="1:15" x14ac:dyDescent="0.3">
      <c r="B55" s="1" t="s">
        <v>63</v>
      </c>
      <c r="C55" s="1" t="s">
        <v>282</v>
      </c>
      <c r="D55" s="1"/>
      <c r="E55" s="46">
        <v>181.2</v>
      </c>
      <c r="F55" s="103">
        <f t="shared" si="3"/>
        <v>248.21917808219177</v>
      </c>
      <c r="G55" s="8">
        <f t="shared" si="4"/>
        <v>241.6</v>
      </c>
      <c r="H55" s="37">
        <f t="shared" si="0"/>
        <v>27</v>
      </c>
      <c r="I55" s="1">
        <v>6</v>
      </c>
      <c r="J55" s="2"/>
      <c r="K55" s="2">
        <f t="shared" si="5"/>
        <v>1489.3150684931506</v>
      </c>
      <c r="L55" s="12"/>
      <c r="M55" s="12">
        <f t="shared" si="1"/>
        <v>6</v>
      </c>
      <c r="O55" s="42">
        <f t="shared" si="2"/>
        <v>0</v>
      </c>
    </row>
    <row r="56" spans="1:15" x14ac:dyDescent="0.3">
      <c r="B56" s="1" t="s">
        <v>63</v>
      </c>
      <c r="C56" s="1" t="s">
        <v>283</v>
      </c>
      <c r="D56" s="1"/>
      <c r="E56" s="46">
        <v>101</v>
      </c>
      <c r="F56" s="103">
        <f t="shared" si="3"/>
        <v>138.35616438356163</v>
      </c>
      <c r="G56" s="8">
        <f t="shared" si="4"/>
        <v>134.66666666666666</v>
      </c>
      <c r="H56" s="37">
        <f t="shared" si="0"/>
        <v>26.999999999999996</v>
      </c>
      <c r="I56" s="1">
        <v>6</v>
      </c>
      <c r="J56" s="2"/>
      <c r="K56" s="2">
        <f t="shared" si="5"/>
        <v>830.1369863013698</v>
      </c>
      <c r="L56" s="12"/>
      <c r="M56" s="12">
        <f t="shared" si="1"/>
        <v>6</v>
      </c>
      <c r="O56" s="42">
        <f t="shared" si="2"/>
        <v>0</v>
      </c>
    </row>
    <row r="57" spans="1:15" x14ac:dyDescent="0.3">
      <c r="B57" s="1" t="s">
        <v>63</v>
      </c>
      <c r="C57" s="1" t="s">
        <v>67</v>
      </c>
      <c r="D57" s="1" t="s">
        <v>68</v>
      </c>
      <c r="E57" s="46">
        <v>51.8</v>
      </c>
      <c r="F57" s="103">
        <f t="shared" si="3"/>
        <v>70.958904109589042</v>
      </c>
      <c r="G57" s="8">
        <f t="shared" si="4"/>
        <v>69.066666666666663</v>
      </c>
      <c r="H57" s="37">
        <f t="shared" si="0"/>
        <v>27.000000000000007</v>
      </c>
      <c r="I57" s="1">
        <v>12</v>
      </c>
      <c r="J57" s="2"/>
      <c r="K57" s="2">
        <f t="shared" si="5"/>
        <v>851.50684931506851</v>
      </c>
      <c r="L57" s="12">
        <v>1</v>
      </c>
      <c r="M57" s="12">
        <f t="shared" si="1"/>
        <v>11</v>
      </c>
      <c r="O57" s="42">
        <f t="shared" si="2"/>
        <v>70.958904109589042</v>
      </c>
    </row>
    <row r="58" spans="1:15" x14ac:dyDescent="0.3">
      <c r="B58" s="1" t="s">
        <v>63</v>
      </c>
      <c r="C58" s="1" t="s">
        <v>67</v>
      </c>
      <c r="D58" s="1" t="s">
        <v>69</v>
      </c>
      <c r="E58" s="46">
        <v>156.19999999999999</v>
      </c>
      <c r="F58" s="103">
        <f t="shared" si="3"/>
        <v>213.97260273972603</v>
      </c>
      <c r="G58" s="8">
        <f t="shared" si="4"/>
        <v>208.26666666666665</v>
      </c>
      <c r="H58" s="37">
        <f t="shared" si="0"/>
        <v>27.000000000000007</v>
      </c>
      <c r="I58" s="1">
        <v>3</v>
      </c>
      <c r="J58" s="2"/>
      <c r="K58" s="2">
        <f t="shared" si="5"/>
        <v>641.91780821917814</v>
      </c>
      <c r="L58" s="12"/>
      <c r="M58" s="12">
        <f t="shared" si="1"/>
        <v>3</v>
      </c>
      <c r="O58" s="42">
        <f t="shared" si="2"/>
        <v>0</v>
      </c>
    </row>
    <row r="59" spans="1:15" x14ac:dyDescent="0.3">
      <c r="B59" s="1" t="s">
        <v>63</v>
      </c>
      <c r="C59" s="1" t="s">
        <v>70</v>
      </c>
      <c r="D59" s="1"/>
      <c r="E59" s="46">
        <v>40.9</v>
      </c>
      <c r="F59" s="103">
        <f t="shared" si="3"/>
        <v>56.027397260273972</v>
      </c>
      <c r="G59" s="8">
        <f t="shared" si="4"/>
        <v>54.533333333333331</v>
      </c>
      <c r="H59" s="37">
        <f t="shared" si="0"/>
        <v>27</v>
      </c>
      <c r="I59" s="1">
        <v>6</v>
      </c>
      <c r="J59" s="2"/>
      <c r="K59" s="2">
        <f t="shared" si="5"/>
        <v>336.16438356164383</v>
      </c>
      <c r="L59" s="12">
        <v>2</v>
      </c>
      <c r="M59" s="12">
        <f t="shared" si="1"/>
        <v>4</v>
      </c>
      <c r="O59" s="42">
        <f t="shared" si="2"/>
        <v>112.05479452054794</v>
      </c>
    </row>
    <row r="60" spans="1:15" x14ac:dyDescent="0.3">
      <c r="B60" s="1"/>
      <c r="C60" s="1" t="s">
        <v>288</v>
      </c>
      <c r="D60" s="1"/>
      <c r="E60" s="46">
        <v>204.9</v>
      </c>
      <c r="F60" s="103">
        <f t="shared" si="3"/>
        <v>280.68493150684935</v>
      </c>
      <c r="G60" s="8">
        <f t="shared" si="4"/>
        <v>273.2</v>
      </c>
      <c r="H60" s="37">
        <f t="shared" si="0"/>
        <v>27.000000000000007</v>
      </c>
      <c r="I60" s="1"/>
      <c r="J60" s="2"/>
      <c r="K60" s="2"/>
      <c r="L60" s="12"/>
      <c r="M60" s="12"/>
      <c r="O60" s="42"/>
    </row>
    <row r="61" spans="1:15" x14ac:dyDescent="0.3">
      <c r="B61" s="1" t="s">
        <v>63</v>
      </c>
      <c r="C61" s="1" t="s">
        <v>287</v>
      </c>
      <c r="D61" s="1"/>
      <c r="E61" s="46">
        <v>68</v>
      </c>
      <c r="F61" s="103">
        <f t="shared" si="3"/>
        <v>93.150684931506845</v>
      </c>
      <c r="G61" s="8">
        <f t="shared" si="4"/>
        <v>90.666666666666671</v>
      </c>
      <c r="H61" s="37">
        <f t="shared" si="0"/>
        <v>26.999999999999996</v>
      </c>
      <c r="I61" s="1">
        <v>6</v>
      </c>
      <c r="J61" s="2"/>
      <c r="K61" s="2">
        <f t="shared" si="5"/>
        <v>558.90410958904113</v>
      </c>
      <c r="L61" s="12">
        <v>1</v>
      </c>
      <c r="M61" s="12">
        <f t="shared" si="1"/>
        <v>5</v>
      </c>
      <c r="O61" s="42">
        <f t="shared" si="2"/>
        <v>93.150684931506845</v>
      </c>
    </row>
    <row r="62" spans="1:15" x14ac:dyDescent="0.3">
      <c r="A62">
        <f>24+24+10+1.5+1.5+1.5</f>
        <v>62.5</v>
      </c>
      <c r="B62" s="1" t="s">
        <v>63</v>
      </c>
      <c r="C62" s="1" t="s">
        <v>71</v>
      </c>
      <c r="D62" s="1"/>
      <c r="E62" s="46">
        <v>80.599999999999994</v>
      </c>
      <c r="F62" s="103">
        <f t="shared" si="3"/>
        <v>110.41095890410958</v>
      </c>
      <c r="G62" s="8">
        <f t="shared" si="4"/>
        <v>107.46666666666665</v>
      </c>
      <c r="H62" s="37">
        <f t="shared" si="0"/>
        <v>26.999999999999996</v>
      </c>
      <c r="I62" s="1">
        <v>4</v>
      </c>
      <c r="J62" s="2"/>
      <c r="K62" s="2">
        <f t="shared" si="5"/>
        <v>441.64383561643831</v>
      </c>
      <c r="L62" s="12"/>
      <c r="M62" s="12">
        <f t="shared" si="1"/>
        <v>4</v>
      </c>
      <c r="O62" s="42">
        <f t="shared" si="2"/>
        <v>0</v>
      </c>
    </row>
    <row r="63" spans="1:15" x14ac:dyDescent="0.3">
      <c r="B63" s="1" t="s">
        <v>63</v>
      </c>
      <c r="C63" s="1" t="s">
        <v>72</v>
      </c>
      <c r="D63" s="1"/>
      <c r="E63" s="46">
        <v>88.9</v>
      </c>
      <c r="F63" s="103">
        <f t="shared" si="3"/>
        <v>121.78082191780823</v>
      </c>
      <c r="G63" s="8">
        <f t="shared" si="4"/>
        <v>118.53333333333335</v>
      </c>
      <c r="H63" s="37">
        <f t="shared" si="0"/>
        <v>27</v>
      </c>
      <c r="I63" s="1">
        <v>3</v>
      </c>
      <c r="J63" s="2"/>
      <c r="K63" s="2">
        <f t="shared" si="5"/>
        <v>365.34246575342468</v>
      </c>
      <c r="L63" s="12"/>
      <c r="M63" s="12">
        <f t="shared" si="1"/>
        <v>3</v>
      </c>
      <c r="O63" s="42">
        <f t="shared" si="2"/>
        <v>0</v>
      </c>
    </row>
    <row r="64" spans="1:15" x14ac:dyDescent="0.3">
      <c r="B64" s="1" t="s">
        <v>63</v>
      </c>
      <c r="C64" s="1" t="s">
        <v>73</v>
      </c>
      <c r="D64" s="1"/>
      <c r="E64" s="46">
        <v>86</v>
      </c>
      <c r="F64" s="103">
        <f t="shared" si="3"/>
        <v>117.8082191780822</v>
      </c>
      <c r="G64" s="8">
        <f t="shared" si="4"/>
        <v>114.66666666666667</v>
      </c>
      <c r="H64" s="37">
        <f t="shared" si="0"/>
        <v>27</v>
      </c>
      <c r="I64" s="1">
        <v>6</v>
      </c>
      <c r="J64" s="2"/>
      <c r="K64" s="2">
        <f t="shared" si="5"/>
        <v>706.84931506849318</v>
      </c>
      <c r="L64" s="12">
        <v>1</v>
      </c>
      <c r="M64" s="12">
        <f t="shared" si="1"/>
        <v>5</v>
      </c>
      <c r="O64" s="42">
        <f t="shared" si="2"/>
        <v>117.8082191780822</v>
      </c>
    </row>
    <row r="65" spans="2:15" x14ac:dyDescent="0.3">
      <c r="B65" s="1" t="s">
        <v>63</v>
      </c>
      <c r="C65" s="1" t="s">
        <v>74</v>
      </c>
      <c r="D65" s="1"/>
      <c r="E65" s="46">
        <v>20.399999999999999</v>
      </c>
      <c r="F65" s="103">
        <f t="shared" si="3"/>
        <v>27.945205479452053</v>
      </c>
      <c r="G65" s="8">
        <f t="shared" si="4"/>
        <v>27.2</v>
      </c>
      <c r="H65" s="37">
        <f t="shared" si="0"/>
        <v>27</v>
      </c>
      <c r="I65" s="1">
        <v>12</v>
      </c>
      <c r="J65" s="2"/>
      <c r="K65" s="2">
        <f t="shared" si="5"/>
        <v>335.34246575342462</v>
      </c>
      <c r="L65" s="12">
        <v>1</v>
      </c>
      <c r="M65" s="12">
        <f t="shared" si="1"/>
        <v>11</v>
      </c>
      <c r="O65" s="42">
        <f t="shared" si="2"/>
        <v>27.945205479452053</v>
      </c>
    </row>
    <row r="66" spans="2:15" x14ac:dyDescent="0.3">
      <c r="B66" s="1" t="s">
        <v>63</v>
      </c>
      <c r="C66" s="1" t="s">
        <v>75</v>
      </c>
      <c r="D66" s="1"/>
      <c r="E66" s="46">
        <v>17.899999999999999</v>
      </c>
      <c r="F66" s="103">
        <f t="shared" si="3"/>
        <v>24.520547945205479</v>
      </c>
      <c r="G66" s="8">
        <f t="shared" si="4"/>
        <v>23.866666666666664</v>
      </c>
      <c r="H66" s="37">
        <f t="shared" si="0"/>
        <v>27</v>
      </c>
      <c r="I66" s="1">
        <v>3</v>
      </c>
      <c r="J66" s="2"/>
      <c r="K66" s="2">
        <f t="shared" si="5"/>
        <v>73.561643835616437</v>
      </c>
      <c r="L66" s="12"/>
      <c r="M66" s="12">
        <f t="shared" si="1"/>
        <v>3</v>
      </c>
      <c r="O66" s="42">
        <f t="shared" si="2"/>
        <v>0</v>
      </c>
    </row>
    <row r="67" spans="2:15" x14ac:dyDescent="0.3">
      <c r="B67" s="1" t="s">
        <v>63</v>
      </c>
      <c r="C67" s="1" t="s">
        <v>76</v>
      </c>
      <c r="D67" s="1"/>
      <c r="E67" s="46">
        <v>15.7</v>
      </c>
      <c r="F67" s="103">
        <f t="shared" si="3"/>
        <v>21.506849315068493</v>
      </c>
      <c r="G67" s="8">
        <f t="shared" si="4"/>
        <v>20.933333333333334</v>
      </c>
      <c r="H67" s="37">
        <f t="shared" si="0"/>
        <v>27</v>
      </c>
      <c r="I67" s="1">
        <v>12</v>
      </c>
      <c r="J67" s="2"/>
      <c r="K67" s="2">
        <f t="shared" si="5"/>
        <v>258.08219178082192</v>
      </c>
      <c r="L67" s="12"/>
      <c r="M67" s="12">
        <f t="shared" si="1"/>
        <v>12</v>
      </c>
      <c r="O67" s="42">
        <f t="shared" si="2"/>
        <v>0</v>
      </c>
    </row>
    <row r="68" spans="2:15" x14ac:dyDescent="0.3">
      <c r="B68" s="1" t="s">
        <v>63</v>
      </c>
      <c r="C68" s="1" t="s">
        <v>77</v>
      </c>
      <c r="D68" s="1"/>
      <c r="E68" s="46">
        <v>21.3</v>
      </c>
      <c r="F68" s="103">
        <f t="shared" si="3"/>
        <v>29.178082191780824</v>
      </c>
      <c r="G68" s="8">
        <f t="shared" si="4"/>
        <v>28.400000000000002</v>
      </c>
      <c r="H68" s="37">
        <f t="shared" si="0"/>
        <v>27</v>
      </c>
      <c r="I68" s="1">
        <v>12</v>
      </c>
      <c r="J68" s="2"/>
      <c r="K68" s="2">
        <f t="shared" si="5"/>
        <v>350.13698630136992</v>
      </c>
      <c r="L68" s="12"/>
      <c r="M68" s="12">
        <f t="shared" ref="M68:M131" si="6">I68-L68</f>
        <v>12</v>
      </c>
      <c r="O68" s="42">
        <f t="shared" ref="O68:O101" si="7">L68*F68</f>
        <v>0</v>
      </c>
    </row>
    <row r="69" spans="2:15" x14ac:dyDescent="0.3">
      <c r="B69" s="1" t="s">
        <v>63</v>
      </c>
      <c r="C69" s="1" t="s">
        <v>78</v>
      </c>
      <c r="D69" s="1" t="s">
        <v>79</v>
      </c>
      <c r="E69" s="46">
        <v>13</v>
      </c>
      <c r="F69" s="103">
        <f t="shared" ref="F69:F132" si="8">E69/(1-0.27)</f>
        <v>17.808219178082194</v>
      </c>
      <c r="G69" s="8">
        <f t="shared" si="4"/>
        <v>17.333333333333332</v>
      </c>
      <c r="H69" s="37">
        <f t="shared" si="0"/>
        <v>27.000000000000007</v>
      </c>
      <c r="I69" s="1">
        <v>1</v>
      </c>
      <c r="J69" s="2"/>
      <c r="K69" s="2">
        <f t="shared" si="5"/>
        <v>17.808219178082194</v>
      </c>
      <c r="L69" s="12"/>
      <c r="M69" s="12">
        <f t="shared" si="6"/>
        <v>1</v>
      </c>
      <c r="O69" s="42">
        <f t="shared" si="7"/>
        <v>0</v>
      </c>
    </row>
    <row r="70" spans="2:15" x14ac:dyDescent="0.3">
      <c r="B70" s="1" t="s">
        <v>80</v>
      </c>
      <c r="C70" s="1" t="s">
        <v>81</v>
      </c>
      <c r="D70" s="1"/>
      <c r="E70" s="46">
        <v>67.7</v>
      </c>
      <c r="F70" s="103">
        <f t="shared" si="8"/>
        <v>92.739726027397268</v>
      </c>
      <c r="G70" s="8">
        <f t="shared" si="4"/>
        <v>90.266666666666666</v>
      </c>
      <c r="H70" s="37">
        <f t="shared" si="0"/>
        <v>27</v>
      </c>
      <c r="I70" s="1">
        <v>6</v>
      </c>
      <c r="J70" s="2"/>
      <c r="K70" s="2">
        <f t="shared" si="5"/>
        <v>556.43835616438355</v>
      </c>
      <c r="L70" s="12"/>
      <c r="M70" s="12">
        <f t="shared" si="6"/>
        <v>6</v>
      </c>
      <c r="O70" s="42">
        <f t="shared" si="7"/>
        <v>0</v>
      </c>
    </row>
    <row r="71" spans="2:15" x14ac:dyDescent="0.3">
      <c r="B71" s="1" t="s">
        <v>80</v>
      </c>
      <c r="C71" s="1" t="s">
        <v>82</v>
      </c>
      <c r="D71" s="1"/>
      <c r="E71" s="46">
        <v>49.5</v>
      </c>
      <c r="F71" s="103">
        <f t="shared" si="8"/>
        <v>67.808219178082197</v>
      </c>
      <c r="G71" s="8">
        <f t="shared" si="4"/>
        <v>66</v>
      </c>
      <c r="H71" s="37">
        <f t="shared" ref="H71:H197" si="9">(F71-E71)/F71*(100)</f>
        <v>27.000000000000007</v>
      </c>
      <c r="I71" s="1">
        <v>6</v>
      </c>
      <c r="J71" s="2"/>
      <c r="K71" s="2">
        <f t="shared" si="5"/>
        <v>406.84931506849318</v>
      </c>
      <c r="L71" s="12"/>
      <c r="M71" s="12">
        <f t="shared" si="6"/>
        <v>6</v>
      </c>
      <c r="O71" s="42">
        <f t="shared" si="7"/>
        <v>0</v>
      </c>
    </row>
    <row r="72" spans="2:15" x14ac:dyDescent="0.3">
      <c r="B72" s="1" t="s">
        <v>80</v>
      </c>
      <c r="C72" s="1" t="s">
        <v>83</v>
      </c>
      <c r="D72" s="1"/>
      <c r="E72" s="46">
        <v>43</v>
      </c>
      <c r="F72" s="103">
        <f t="shared" si="8"/>
        <v>58.904109589041099</v>
      </c>
      <c r="G72" s="8">
        <f t="shared" ref="G72:G178" si="10">E72/(1-0.25)</f>
        <v>57.333333333333336</v>
      </c>
      <c r="H72" s="37">
        <f t="shared" si="9"/>
        <v>27</v>
      </c>
      <c r="I72" s="1">
        <v>24</v>
      </c>
      <c r="J72" s="2"/>
      <c r="K72" s="2">
        <f t="shared" ref="K72:K122" si="11">F72*I72</f>
        <v>1413.6986301369864</v>
      </c>
      <c r="L72" s="12">
        <v>1</v>
      </c>
      <c r="M72" s="12">
        <f t="shared" si="6"/>
        <v>23</v>
      </c>
      <c r="O72" s="42">
        <f t="shared" si="7"/>
        <v>58.904109589041099</v>
      </c>
    </row>
    <row r="73" spans="2:15" x14ac:dyDescent="0.3">
      <c r="B73" s="1" t="s">
        <v>80</v>
      </c>
      <c r="C73" s="1" t="s">
        <v>84</v>
      </c>
      <c r="D73" s="1"/>
      <c r="E73" s="46">
        <v>32.9</v>
      </c>
      <c r="F73" s="103">
        <f t="shared" si="8"/>
        <v>45.06849315068493</v>
      </c>
      <c r="G73" s="8">
        <f t="shared" si="10"/>
        <v>43.866666666666667</v>
      </c>
      <c r="H73" s="37">
        <f t="shared" si="9"/>
        <v>27</v>
      </c>
      <c r="I73" s="1">
        <v>18</v>
      </c>
      <c r="J73" s="2"/>
      <c r="K73" s="2">
        <f t="shared" si="11"/>
        <v>811.23287671232879</v>
      </c>
      <c r="L73" s="12">
        <v>17</v>
      </c>
      <c r="M73" s="12">
        <f t="shared" si="6"/>
        <v>1</v>
      </c>
      <c r="O73" s="42">
        <f t="shared" si="7"/>
        <v>766.16438356164383</v>
      </c>
    </row>
    <row r="74" spans="2:15" x14ac:dyDescent="0.3">
      <c r="B74" s="1" t="s">
        <v>80</v>
      </c>
      <c r="C74" s="1" t="s">
        <v>85</v>
      </c>
      <c r="D74" s="1"/>
      <c r="E74" s="46">
        <v>39.1</v>
      </c>
      <c r="F74" s="103">
        <f t="shared" si="8"/>
        <v>53.561643835616444</v>
      </c>
      <c r="G74" s="8">
        <f t="shared" si="10"/>
        <v>52.133333333333333</v>
      </c>
      <c r="H74" s="37">
        <f t="shared" si="9"/>
        <v>27.000000000000007</v>
      </c>
      <c r="I74" s="1">
        <v>6</v>
      </c>
      <c r="J74" s="2"/>
      <c r="K74" s="2">
        <f t="shared" si="11"/>
        <v>321.36986301369865</v>
      </c>
      <c r="L74" s="12"/>
      <c r="M74" s="12">
        <f t="shared" si="6"/>
        <v>6</v>
      </c>
      <c r="O74" s="42">
        <f t="shared" si="7"/>
        <v>0</v>
      </c>
    </row>
    <row r="75" spans="2:15" x14ac:dyDescent="0.3">
      <c r="B75" s="1" t="s">
        <v>80</v>
      </c>
      <c r="C75" s="1" t="s">
        <v>86</v>
      </c>
      <c r="D75" s="1"/>
      <c r="E75" s="46">
        <v>20.76</v>
      </c>
      <c r="F75" s="103">
        <f t="shared" si="8"/>
        <v>28.438356164383563</v>
      </c>
      <c r="G75" s="8">
        <f t="shared" si="10"/>
        <v>27.680000000000003</v>
      </c>
      <c r="H75" s="37">
        <f t="shared" si="9"/>
        <v>27</v>
      </c>
      <c r="I75" s="1">
        <v>36</v>
      </c>
      <c r="J75" s="2"/>
      <c r="K75" s="2">
        <f t="shared" si="11"/>
        <v>1023.7808219178082</v>
      </c>
      <c r="L75" s="12">
        <v>4</v>
      </c>
      <c r="M75" s="12">
        <f t="shared" si="6"/>
        <v>32</v>
      </c>
      <c r="O75" s="42">
        <f t="shared" si="7"/>
        <v>113.75342465753425</v>
      </c>
    </row>
    <row r="76" spans="2:15" x14ac:dyDescent="0.3">
      <c r="B76" s="1" t="s">
        <v>80</v>
      </c>
      <c r="C76" s="1" t="s">
        <v>87</v>
      </c>
      <c r="D76" s="1"/>
      <c r="E76" s="46">
        <v>20.76</v>
      </c>
      <c r="F76" s="103">
        <f t="shared" si="8"/>
        <v>28.438356164383563</v>
      </c>
      <c r="G76" s="8">
        <f t="shared" si="10"/>
        <v>27.680000000000003</v>
      </c>
      <c r="H76" s="37">
        <f t="shared" si="9"/>
        <v>27</v>
      </c>
      <c r="I76" s="1">
        <v>36</v>
      </c>
      <c r="J76" s="2"/>
      <c r="K76" s="2">
        <f t="shared" si="11"/>
        <v>1023.7808219178082</v>
      </c>
      <c r="L76" s="12">
        <v>2</v>
      </c>
      <c r="M76" s="12">
        <f t="shared" si="6"/>
        <v>34</v>
      </c>
      <c r="O76" s="42">
        <f t="shared" si="7"/>
        <v>56.876712328767127</v>
      </c>
    </row>
    <row r="77" spans="2:15" x14ac:dyDescent="0.3">
      <c r="B77" s="1" t="s">
        <v>239</v>
      </c>
      <c r="C77" s="1" t="s">
        <v>240</v>
      </c>
      <c r="D77" s="1"/>
      <c r="E77" s="46">
        <f>25.39/2</f>
        <v>12.695</v>
      </c>
      <c r="F77" s="103">
        <f t="shared" si="8"/>
        <v>17.390410958904109</v>
      </c>
      <c r="G77" s="8"/>
      <c r="H77" s="37">
        <f t="shared" si="9"/>
        <v>26.999999999999996</v>
      </c>
      <c r="I77" s="1">
        <v>6</v>
      </c>
      <c r="J77" s="2"/>
      <c r="K77" s="2">
        <f t="shared" si="11"/>
        <v>104.34246575342465</v>
      </c>
      <c r="L77" s="12">
        <v>1</v>
      </c>
      <c r="M77" s="12">
        <f t="shared" si="6"/>
        <v>5</v>
      </c>
      <c r="O77" s="42">
        <f t="shared" si="7"/>
        <v>17.390410958904109</v>
      </c>
    </row>
    <row r="78" spans="2:15" x14ac:dyDescent="0.3">
      <c r="B78" s="1" t="s">
        <v>80</v>
      </c>
      <c r="C78" s="1" t="s">
        <v>88</v>
      </c>
      <c r="D78" s="1"/>
      <c r="E78" s="46">
        <v>7.7</v>
      </c>
      <c r="F78" s="103">
        <f t="shared" si="8"/>
        <v>10.547945205479452</v>
      </c>
      <c r="G78" s="8">
        <f t="shared" si="10"/>
        <v>10.266666666666667</v>
      </c>
      <c r="H78" s="37">
        <f t="shared" si="9"/>
        <v>27</v>
      </c>
      <c r="I78" s="1">
        <v>12</v>
      </c>
      <c r="J78" s="2"/>
      <c r="K78" s="2">
        <f t="shared" si="11"/>
        <v>126.57534246575344</v>
      </c>
      <c r="L78" s="12">
        <v>8</v>
      </c>
      <c r="M78" s="12">
        <f t="shared" si="6"/>
        <v>4</v>
      </c>
      <c r="O78" s="42">
        <f t="shared" si="7"/>
        <v>84.38356164383562</v>
      </c>
    </row>
    <row r="79" spans="2:15" x14ac:dyDescent="0.3">
      <c r="B79" s="1" t="s">
        <v>80</v>
      </c>
      <c r="C79" s="1" t="s">
        <v>289</v>
      </c>
      <c r="D79" s="1"/>
      <c r="E79" s="46">
        <v>4.76</v>
      </c>
      <c r="F79" s="103">
        <f t="shared" si="8"/>
        <v>6.5205479452054798</v>
      </c>
      <c r="G79" s="8">
        <f t="shared" si="10"/>
        <v>6.3466666666666667</v>
      </c>
      <c r="H79" s="37">
        <f t="shared" si="9"/>
        <v>27.000000000000007</v>
      </c>
      <c r="I79" s="1">
        <v>12</v>
      </c>
      <c r="J79" s="2"/>
      <c r="K79" s="2">
        <f t="shared" si="11"/>
        <v>78.246575342465761</v>
      </c>
      <c r="L79" s="12"/>
      <c r="M79" s="12"/>
      <c r="O79" s="42"/>
    </row>
    <row r="80" spans="2:15" x14ac:dyDescent="0.3">
      <c r="B80" s="1" t="s">
        <v>89</v>
      </c>
      <c r="C80" s="1" t="s">
        <v>90</v>
      </c>
      <c r="D80" s="1"/>
      <c r="E80" s="46">
        <v>20.8</v>
      </c>
      <c r="F80" s="103">
        <f t="shared" si="8"/>
        <v>28.493150684931507</v>
      </c>
      <c r="G80" s="8">
        <f t="shared" si="10"/>
        <v>27.733333333333334</v>
      </c>
      <c r="H80" s="37">
        <f t="shared" si="9"/>
        <v>26.999999999999996</v>
      </c>
      <c r="I80" s="1">
        <f>6+12</f>
        <v>18</v>
      </c>
      <c r="J80" s="2"/>
      <c r="K80" s="2">
        <f t="shared" si="11"/>
        <v>512.8767123287671</v>
      </c>
      <c r="L80" s="12">
        <v>5</v>
      </c>
      <c r="M80" s="12">
        <f t="shared" si="6"/>
        <v>13</v>
      </c>
      <c r="O80" s="42">
        <f t="shared" si="7"/>
        <v>142.46575342465752</v>
      </c>
    </row>
    <row r="81" spans="2:15" x14ac:dyDescent="0.3">
      <c r="B81" s="1" t="s">
        <v>89</v>
      </c>
      <c r="C81" s="1" t="s">
        <v>206</v>
      </c>
      <c r="D81" s="1"/>
      <c r="E81" s="46">
        <v>27.2</v>
      </c>
      <c r="F81" s="103">
        <f t="shared" si="8"/>
        <v>37.260273972602739</v>
      </c>
      <c r="G81" s="8">
        <f t="shared" si="10"/>
        <v>36.266666666666666</v>
      </c>
      <c r="H81" s="37">
        <f t="shared" si="9"/>
        <v>27</v>
      </c>
      <c r="I81" s="1">
        <v>18</v>
      </c>
      <c r="J81" s="2"/>
      <c r="K81" s="2">
        <f t="shared" si="11"/>
        <v>670.68493150684935</v>
      </c>
      <c r="L81" s="12">
        <v>6</v>
      </c>
      <c r="M81" s="12">
        <f t="shared" si="6"/>
        <v>12</v>
      </c>
      <c r="O81" s="42">
        <f t="shared" si="7"/>
        <v>223.56164383561645</v>
      </c>
    </row>
    <row r="82" spans="2:15" x14ac:dyDescent="0.3">
      <c r="B82" s="1" t="s">
        <v>89</v>
      </c>
      <c r="C82" s="1" t="s">
        <v>91</v>
      </c>
      <c r="D82" s="1"/>
      <c r="E82" s="46">
        <v>4.7</v>
      </c>
      <c r="F82" s="103">
        <f t="shared" si="8"/>
        <v>6.4383561643835616</v>
      </c>
      <c r="G82" s="8">
        <f t="shared" si="10"/>
        <v>6.2666666666666666</v>
      </c>
      <c r="H82" s="37">
        <f t="shared" si="9"/>
        <v>26.999999999999996</v>
      </c>
      <c r="I82" s="1">
        <v>6</v>
      </c>
      <c r="J82" s="2"/>
      <c r="K82" s="2">
        <f t="shared" si="11"/>
        <v>38.630136986301366</v>
      </c>
      <c r="L82" s="12">
        <v>3</v>
      </c>
      <c r="M82" s="12">
        <f t="shared" si="6"/>
        <v>3</v>
      </c>
      <c r="O82" s="42">
        <f t="shared" si="7"/>
        <v>19.315068493150683</v>
      </c>
    </row>
    <row r="83" spans="2:15" x14ac:dyDescent="0.3">
      <c r="B83" s="1" t="s">
        <v>89</v>
      </c>
      <c r="C83" s="1" t="s">
        <v>241</v>
      </c>
      <c r="D83" s="1"/>
      <c r="E83" s="46">
        <f>35.72/2</f>
        <v>17.86</v>
      </c>
      <c r="F83" s="103">
        <f t="shared" si="8"/>
        <v>24.465753424657535</v>
      </c>
      <c r="G83" s="8"/>
      <c r="H83" s="37">
        <f t="shared" si="9"/>
        <v>27.000000000000007</v>
      </c>
      <c r="I83" s="1">
        <v>2</v>
      </c>
      <c r="J83" s="2"/>
      <c r="K83" s="2">
        <f t="shared" si="11"/>
        <v>48.93150684931507</v>
      </c>
      <c r="L83" s="12"/>
      <c r="M83" s="12">
        <f t="shared" si="6"/>
        <v>2</v>
      </c>
      <c r="O83" s="42">
        <f t="shared" si="7"/>
        <v>0</v>
      </c>
    </row>
    <row r="84" spans="2:15" x14ac:dyDescent="0.3">
      <c r="B84" s="1" t="s">
        <v>89</v>
      </c>
      <c r="C84" s="1" t="s">
        <v>92</v>
      </c>
      <c r="D84" s="1"/>
      <c r="E84" s="46">
        <v>40.9</v>
      </c>
      <c r="F84" s="103">
        <f t="shared" si="8"/>
        <v>56.027397260273972</v>
      </c>
      <c r="G84" s="8">
        <f t="shared" si="10"/>
        <v>54.533333333333331</v>
      </c>
      <c r="H84" s="37">
        <f t="shared" si="9"/>
        <v>27</v>
      </c>
      <c r="I84" s="1">
        <v>3</v>
      </c>
      <c r="J84" s="2"/>
      <c r="K84" s="2">
        <f t="shared" si="11"/>
        <v>168.08219178082192</v>
      </c>
      <c r="L84" s="12"/>
      <c r="M84" s="12">
        <f t="shared" si="6"/>
        <v>3</v>
      </c>
      <c r="O84" s="42">
        <f t="shared" si="7"/>
        <v>0</v>
      </c>
    </row>
    <row r="85" spans="2:15" x14ac:dyDescent="0.3">
      <c r="B85" s="1" t="s">
        <v>89</v>
      </c>
      <c r="C85" s="1" t="s">
        <v>93</v>
      </c>
      <c r="D85" s="1"/>
      <c r="E85" s="46">
        <v>40.9</v>
      </c>
      <c r="F85" s="103">
        <f t="shared" si="8"/>
        <v>56.027397260273972</v>
      </c>
      <c r="G85" s="8">
        <f t="shared" si="10"/>
        <v>54.533333333333331</v>
      </c>
      <c r="H85" s="37">
        <f t="shared" si="9"/>
        <v>27</v>
      </c>
      <c r="I85" s="1">
        <v>3</v>
      </c>
      <c r="J85" s="2"/>
      <c r="K85" s="2">
        <f t="shared" si="11"/>
        <v>168.08219178082192</v>
      </c>
      <c r="L85" s="12"/>
      <c r="M85" s="12">
        <f t="shared" si="6"/>
        <v>3</v>
      </c>
      <c r="O85" s="42">
        <f t="shared" si="7"/>
        <v>0</v>
      </c>
    </row>
    <row r="86" spans="2:15" x14ac:dyDescent="0.3">
      <c r="B86" s="1" t="s">
        <v>89</v>
      </c>
      <c r="C86" s="1" t="s">
        <v>94</v>
      </c>
      <c r="D86" s="1"/>
      <c r="E86" s="46">
        <v>40.9</v>
      </c>
      <c r="F86" s="103">
        <f t="shared" si="8"/>
        <v>56.027397260273972</v>
      </c>
      <c r="G86" s="8">
        <f t="shared" si="10"/>
        <v>54.533333333333331</v>
      </c>
      <c r="H86" s="37">
        <f t="shared" si="9"/>
        <v>27</v>
      </c>
      <c r="I86" s="1">
        <v>3</v>
      </c>
      <c r="J86" s="2"/>
      <c r="K86" s="2">
        <f t="shared" si="11"/>
        <v>168.08219178082192</v>
      </c>
      <c r="L86" s="12"/>
      <c r="M86" s="12">
        <f t="shared" si="6"/>
        <v>3</v>
      </c>
      <c r="O86" s="42">
        <f t="shared" si="7"/>
        <v>0</v>
      </c>
    </row>
    <row r="87" spans="2:15" x14ac:dyDescent="0.3">
      <c r="B87" s="1" t="s">
        <v>89</v>
      </c>
      <c r="C87" s="1" t="s">
        <v>95</v>
      </c>
      <c r="D87" s="1"/>
      <c r="E87" s="46">
        <v>40.9</v>
      </c>
      <c r="F87" s="103">
        <f t="shared" si="8"/>
        <v>56.027397260273972</v>
      </c>
      <c r="G87" s="8">
        <f t="shared" si="10"/>
        <v>54.533333333333331</v>
      </c>
      <c r="H87" s="37">
        <f t="shared" si="9"/>
        <v>27</v>
      </c>
      <c r="I87" s="1">
        <v>3</v>
      </c>
      <c r="J87" s="2"/>
      <c r="K87" s="2">
        <f t="shared" si="11"/>
        <v>168.08219178082192</v>
      </c>
      <c r="L87" s="12"/>
      <c r="M87" s="12">
        <f t="shared" si="6"/>
        <v>3</v>
      </c>
      <c r="O87" s="42">
        <f t="shared" si="7"/>
        <v>0</v>
      </c>
    </row>
    <row r="88" spans="2:15" x14ac:dyDescent="0.3">
      <c r="B88" s="1" t="s">
        <v>89</v>
      </c>
      <c r="C88" s="1" t="s">
        <v>96</v>
      </c>
      <c r="D88" s="1"/>
      <c r="E88" s="46">
        <v>40.9</v>
      </c>
      <c r="F88" s="103">
        <f t="shared" si="8"/>
        <v>56.027397260273972</v>
      </c>
      <c r="G88" s="8">
        <f t="shared" si="10"/>
        <v>54.533333333333331</v>
      </c>
      <c r="H88" s="37">
        <f t="shared" si="9"/>
        <v>27</v>
      </c>
      <c r="I88" s="1">
        <v>3</v>
      </c>
      <c r="J88" s="2"/>
      <c r="K88" s="2">
        <f t="shared" si="11"/>
        <v>168.08219178082192</v>
      </c>
      <c r="L88" s="12"/>
      <c r="M88" s="12">
        <f t="shared" si="6"/>
        <v>3</v>
      </c>
      <c r="O88" s="42">
        <f t="shared" si="7"/>
        <v>0</v>
      </c>
    </row>
    <row r="89" spans="2:15" x14ac:dyDescent="0.3">
      <c r="B89" s="1" t="s">
        <v>89</v>
      </c>
      <c r="C89" s="1" t="s">
        <v>97</v>
      </c>
      <c r="D89" s="1"/>
      <c r="E89" s="46">
        <v>33.4</v>
      </c>
      <c r="F89" s="103">
        <f t="shared" si="8"/>
        <v>45.753424657534246</v>
      </c>
      <c r="G89" s="8">
        <f t="shared" si="10"/>
        <v>44.533333333333331</v>
      </c>
      <c r="H89" s="37">
        <f t="shared" si="9"/>
        <v>27</v>
      </c>
      <c r="I89" s="1">
        <v>2</v>
      </c>
      <c r="J89" s="2"/>
      <c r="K89" s="2">
        <f t="shared" si="11"/>
        <v>91.506849315068493</v>
      </c>
      <c r="L89" s="12"/>
      <c r="M89" s="12">
        <f t="shared" si="6"/>
        <v>2</v>
      </c>
      <c r="O89" s="42">
        <f t="shared" si="7"/>
        <v>0</v>
      </c>
    </row>
    <row r="90" spans="2:15" x14ac:dyDescent="0.3">
      <c r="B90" s="1" t="s">
        <v>89</v>
      </c>
      <c r="C90" s="1" t="s">
        <v>98</v>
      </c>
      <c r="D90" s="1"/>
      <c r="E90" s="46">
        <v>33.4</v>
      </c>
      <c r="F90" s="103">
        <f t="shared" si="8"/>
        <v>45.753424657534246</v>
      </c>
      <c r="G90" s="8">
        <f t="shared" si="10"/>
        <v>44.533333333333331</v>
      </c>
      <c r="H90" s="37">
        <f t="shared" si="9"/>
        <v>27</v>
      </c>
      <c r="I90" s="1">
        <v>2</v>
      </c>
      <c r="J90" s="2"/>
      <c r="K90" s="2">
        <f t="shared" si="11"/>
        <v>91.506849315068493</v>
      </c>
      <c r="L90" s="12"/>
      <c r="M90" s="12">
        <f t="shared" si="6"/>
        <v>2</v>
      </c>
      <c r="O90" s="42">
        <f t="shared" si="7"/>
        <v>0</v>
      </c>
    </row>
    <row r="91" spans="2:15" x14ac:dyDescent="0.3">
      <c r="B91" s="1" t="s">
        <v>89</v>
      </c>
      <c r="C91" s="1" t="s">
        <v>99</v>
      </c>
      <c r="D91" s="1"/>
      <c r="E91" s="46">
        <v>33.4</v>
      </c>
      <c r="F91" s="103">
        <f t="shared" si="8"/>
        <v>45.753424657534246</v>
      </c>
      <c r="G91" s="8">
        <f t="shared" si="10"/>
        <v>44.533333333333331</v>
      </c>
      <c r="H91" s="37">
        <f t="shared" si="9"/>
        <v>27</v>
      </c>
      <c r="I91" s="1">
        <v>2</v>
      </c>
      <c r="J91" s="2"/>
      <c r="K91" s="2">
        <f t="shared" si="11"/>
        <v>91.506849315068493</v>
      </c>
      <c r="L91" s="12"/>
      <c r="M91" s="12">
        <f t="shared" si="6"/>
        <v>2</v>
      </c>
      <c r="O91" s="42">
        <f t="shared" si="7"/>
        <v>0</v>
      </c>
    </row>
    <row r="92" spans="2:15" x14ac:dyDescent="0.3">
      <c r="B92" s="1" t="s">
        <v>100</v>
      </c>
      <c r="C92" s="1" t="s">
        <v>101</v>
      </c>
      <c r="D92" s="1"/>
      <c r="E92" s="46">
        <v>62.8</v>
      </c>
      <c r="F92" s="103">
        <f t="shared" si="8"/>
        <v>86.027397260273972</v>
      </c>
      <c r="G92" s="8">
        <f t="shared" si="10"/>
        <v>83.733333333333334</v>
      </c>
      <c r="H92" s="37">
        <f t="shared" si="9"/>
        <v>27</v>
      </c>
      <c r="I92" s="1">
        <v>6</v>
      </c>
      <c r="J92" s="2"/>
      <c r="K92" s="2">
        <f t="shared" si="11"/>
        <v>516.16438356164383</v>
      </c>
      <c r="L92" s="12">
        <v>2</v>
      </c>
      <c r="M92" s="12">
        <f t="shared" si="6"/>
        <v>4</v>
      </c>
      <c r="O92" s="42">
        <f t="shared" si="7"/>
        <v>172.05479452054794</v>
      </c>
    </row>
    <row r="93" spans="2:15" x14ac:dyDescent="0.3">
      <c r="B93" s="1" t="s">
        <v>100</v>
      </c>
      <c r="C93" s="1" t="s">
        <v>102</v>
      </c>
      <c r="D93" s="1"/>
      <c r="E93" s="46">
        <v>80.900000000000006</v>
      </c>
      <c r="F93" s="103">
        <f t="shared" si="8"/>
        <v>110.82191780821918</v>
      </c>
      <c r="G93" s="8">
        <f t="shared" si="10"/>
        <v>107.86666666666667</v>
      </c>
      <c r="H93" s="37">
        <f t="shared" si="9"/>
        <v>26.999999999999996</v>
      </c>
      <c r="I93" s="1">
        <v>1</v>
      </c>
      <c r="J93" s="2"/>
      <c r="K93" s="2">
        <f t="shared" si="11"/>
        <v>110.82191780821918</v>
      </c>
      <c r="L93" s="12"/>
      <c r="M93" s="12">
        <f t="shared" si="6"/>
        <v>1</v>
      </c>
      <c r="O93" s="42">
        <f t="shared" si="7"/>
        <v>0</v>
      </c>
    </row>
    <row r="94" spans="2:15" x14ac:dyDescent="0.3">
      <c r="B94" s="1" t="s">
        <v>100</v>
      </c>
      <c r="C94" s="1" t="s">
        <v>103</v>
      </c>
      <c r="D94" s="1"/>
      <c r="E94" s="46">
        <v>6.5</v>
      </c>
      <c r="F94" s="103">
        <f t="shared" si="8"/>
        <v>8.9041095890410968</v>
      </c>
      <c r="G94" s="8">
        <f t="shared" si="10"/>
        <v>8.6666666666666661</v>
      </c>
      <c r="H94" s="37">
        <f t="shared" si="9"/>
        <v>27.000000000000007</v>
      </c>
      <c r="I94" s="1">
        <v>6</v>
      </c>
      <c r="J94" s="2"/>
      <c r="K94" s="2">
        <f t="shared" si="11"/>
        <v>53.424657534246577</v>
      </c>
      <c r="L94" s="12">
        <v>1</v>
      </c>
      <c r="M94" s="12">
        <f t="shared" si="6"/>
        <v>5</v>
      </c>
      <c r="O94" s="42">
        <f t="shared" si="7"/>
        <v>8.9041095890410968</v>
      </c>
    </row>
    <row r="95" spans="2:15" x14ac:dyDescent="0.3">
      <c r="B95" s="1" t="s">
        <v>104</v>
      </c>
      <c r="C95" s="1" t="s">
        <v>105</v>
      </c>
      <c r="D95" s="1"/>
      <c r="E95" s="46">
        <v>30.6</v>
      </c>
      <c r="F95" s="103">
        <f t="shared" si="8"/>
        <v>41.917808219178085</v>
      </c>
      <c r="G95" s="8">
        <f t="shared" si="10"/>
        <v>40.800000000000004</v>
      </c>
      <c r="H95" s="37">
        <f t="shared" si="9"/>
        <v>27</v>
      </c>
      <c r="I95" s="1">
        <v>3</v>
      </c>
      <c r="J95" s="2"/>
      <c r="K95" s="2">
        <f t="shared" si="11"/>
        <v>125.75342465753425</v>
      </c>
      <c r="L95" s="12">
        <v>1</v>
      </c>
      <c r="M95" s="12">
        <f t="shared" si="6"/>
        <v>2</v>
      </c>
      <c r="O95" s="42">
        <f t="shared" si="7"/>
        <v>41.917808219178085</v>
      </c>
    </row>
    <row r="96" spans="2:15" x14ac:dyDescent="0.3">
      <c r="B96" s="1" t="s">
        <v>104</v>
      </c>
      <c r="C96" s="1" t="s">
        <v>106</v>
      </c>
      <c r="D96" s="1"/>
      <c r="E96" s="46">
        <v>26.99</v>
      </c>
      <c r="F96" s="103">
        <f t="shared" si="8"/>
        <v>36.972602739726028</v>
      </c>
      <c r="G96" s="8">
        <f t="shared" si="10"/>
        <v>35.986666666666665</v>
      </c>
      <c r="H96" s="37">
        <f t="shared" si="9"/>
        <v>27.000000000000007</v>
      </c>
      <c r="I96" s="1">
        <v>3</v>
      </c>
      <c r="J96" s="2"/>
      <c r="K96" s="2">
        <f t="shared" si="11"/>
        <v>110.91780821917808</v>
      </c>
      <c r="L96" s="12">
        <v>1</v>
      </c>
      <c r="M96" s="12">
        <f t="shared" si="6"/>
        <v>2</v>
      </c>
      <c r="O96" s="42">
        <f t="shared" si="7"/>
        <v>36.972602739726028</v>
      </c>
    </row>
    <row r="97" spans="2:15" x14ac:dyDescent="0.3">
      <c r="B97" s="1" t="s">
        <v>104</v>
      </c>
      <c r="C97" s="1" t="s">
        <v>107</v>
      </c>
      <c r="D97" s="1"/>
      <c r="E97" s="46">
        <v>26.99</v>
      </c>
      <c r="F97" s="103">
        <f t="shared" si="8"/>
        <v>36.972602739726028</v>
      </c>
      <c r="G97" s="8">
        <f t="shared" si="10"/>
        <v>35.986666666666665</v>
      </c>
      <c r="H97" s="37">
        <f t="shared" si="9"/>
        <v>27.000000000000007</v>
      </c>
      <c r="I97" s="1">
        <v>3</v>
      </c>
      <c r="J97" s="2"/>
      <c r="K97" s="2">
        <f t="shared" si="11"/>
        <v>110.91780821917808</v>
      </c>
      <c r="L97" s="12">
        <v>1</v>
      </c>
      <c r="M97" s="12">
        <f t="shared" si="6"/>
        <v>2</v>
      </c>
      <c r="O97" s="42">
        <f t="shared" si="7"/>
        <v>36.972602739726028</v>
      </c>
    </row>
    <row r="98" spans="2:15" x14ac:dyDescent="0.3">
      <c r="B98" s="1" t="s">
        <v>108</v>
      </c>
      <c r="C98" s="1" t="s">
        <v>109</v>
      </c>
      <c r="D98" s="1"/>
      <c r="E98" s="46">
        <v>10</v>
      </c>
      <c r="F98" s="103">
        <f t="shared" si="8"/>
        <v>13.698630136986301</v>
      </c>
      <c r="G98" s="8">
        <f t="shared" si="10"/>
        <v>13.333333333333334</v>
      </c>
      <c r="H98" s="37">
        <f t="shared" si="9"/>
        <v>26.999999999999996</v>
      </c>
      <c r="I98" s="1">
        <v>6</v>
      </c>
      <c r="J98" s="2"/>
      <c r="K98" s="2">
        <f t="shared" si="11"/>
        <v>82.191780821917803</v>
      </c>
      <c r="L98" s="12">
        <v>2</v>
      </c>
      <c r="M98" s="12">
        <f t="shared" si="6"/>
        <v>4</v>
      </c>
      <c r="O98" s="42">
        <f t="shared" si="7"/>
        <v>27.397260273972602</v>
      </c>
    </row>
    <row r="99" spans="2:15" x14ac:dyDescent="0.3">
      <c r="B99" s="1" t="s">
        <v>108</v>
      </c>
      <c r="C99" s="1" t="s">
        <v>110</v>
      </c>
      <c r="D99" s="1"/>
      <c r="E99" s="46">
        <v>10.8</v>
      </c>
      <c r="F99" s="103">
        <f t="shared" si="8"/>
        <v>14.794520547945206</v>
      </c>
      <c r="G99" s="8">
        <f t="shared" si="10"/>
        <v>14.4</v>
      </c>
      <c r="H99" s="37">
        <f t="shared" si="9"/>
        <v>26.999999999999996</v>
      </c>
      <c r="I99" s="1">
        <v>6</v>
      </c>
      <c r="J99" s="2"/>
      <c r="K99" s="2">
        <f t="shared" si="11"/>
        <v>88.767123287671239</v>
      </c>
      <c r="L99" s="12"/>
      <c r="M99" s="12">
        <f t="shared" si="6"/>
        <v>6</v>
      </c>
      <c r="O99" s="42">
        <f t="shared" si="7"/>
        <v>0</v>
      </c>
    </row>
    <row r="100" spans="2:15" x14ac:dyDescent="0.3">
      <c r="B100" s="1" t="s">
        <v>111</v>
      </c>
      <c r="C100" s="1" t="s">
        <v>112</v>
      </c>
      <c r="D100" s="1"/>
      <c r="E100" s="46">
        <v>19.989999999999998</v>
      </c>
      <c r="F100" s="103">
        <f t="shared" si="8"/>
        <v>27.383561643835616</v>
      </c>
      <c r="G100" s="8">
        <f t="shared" si="10"/>
        <v>26.653333333333332</v>
      </c>
      <c r="H100" s="37">
        <f t="shared" si="9"/>
        <v>27.000000000000007</v>
      </c>
      <c r="I100" s="1">
        <v>6</v>
      </c>
      <c r="J100" s="2"/>
      <c r="K100" s="2">
        <f t="shared" si="11"/>
        <v>164.30136986301369</v>
      </c>
      <c r="L100" s="12">
        <v>2</v>
      </c>
      <c r="M100" s="12">
        <f t="shared" si="6"/>
        <v>4</v>
      </c>
      <c r="O100" s="42">
        <f t="shared" si="7"/>
        <v>54.767123287671232</v>
      </c>
    </row>
    <row r="101" spans="2:15" x14ac:dyDescent="0.3">
      <c r="B101" s="1" t="s">
        <v>111</v>
      </c>
      <c r="C101" s="1" t="s">
        <v>113</v>
      </c>
      <c r="D101" s="1"/>
      <c r="E101" s="46">
        <v>19.989999999999998</v>
      </c>
      <c r="F101" s="103">
        <f t="shared" si="8"/>
        <v>27.383561643835616</v>
      </c>
      <c r="G101" s="8">
        <f t="shared" si="10"/>
        <v>26.653333333333332</v>
      </c>
      <c r="H101" s="37">
        <f t="shared" si="9"/>
        <v>27.000000000000007</v>
      </c>
      <c r="I101" s="1">
        <v>6</v>
      </c>
      <c r="J101" s="2"/>
      <c r="K101" s="2">
        <f t="shared" si="11"/>
        <v>164.30136986301369</v>
      </c>
      <c r="L101" s="12">
        <v>2</v>
      </c>
      <c r="M101" s="12">
        <f t="shared" si="6"/>
        <v>4</v>
      </c>
      <c r="O101" s="42">
        <f t="shared" si="7"/>
        <v>54.767123287671232</v>
      </c>
    </row>
    <row r="102" spans="2:15" x14ac:dyDescent="0.3">
      <c r="B102" s="1" t="s">
        <v>114</v>
      </c>
      <c r="C102" s="1" t="s">
        <v>115</v>
      </c>
      <c r="D102" s="1" t="s">
        <v>116</v>
      </c>
      <c r="E102" s="46"/>
      <c r="F102" s="103">
        <f t="shared" si="8"/>
        <v>0</v>
      </c>
      <c r="G102" s="8">
        <f t="shared" si="10"/>
        <v>0</v>
      </c>
      <c r="H102" s="37" t="e">
        <f t="shared" si="9"/>
        <v>#DIV/0!</v>
      </c>
      <c r="I102" s="1">
        <v>12</v>
      </c>
      <c r="J102" s="2"/>
      <c r="K102" s="2">
        <f t="shared" si="11"/>
        <v>0</v>
      </c>
      <c r="L102" s="12">
        <v>7</v>
      </c>
      <c r="M102" s="12">
        <f t="shared" si="6"/>
        <v>5</v>
      </c>
      <c r="O102" s="42">
        <v>10</v>
      </c>
    </row>
    <row r="103" spans="2:15" x14ac:dyDescent="0.3">
      <c r="B103" s="1" t="s">
        <v>117</v>
      </c>
      <c r="C103" s="1" t="s">
        <v>118</v>
      </c>
      <c r="D103" s="1"/>
      <c r="E103" s="46">
        <v>56.3</v>
      </c>
      <c r="F103" s="103">
        <f t="shared" si="8"/>
        <v>77.123287671232873</v>
      </c>
      <c r="G103" s="8">
        <f t="shared" si="10"/>
        <v>75.066666666666663</v>
      </c>
      <c r="H103" s="37">
        <f t="shared" si="9"/>
        <v>27</v>
      </c>
      <c r="I103" s="1">
        <v>6</v>
      </c>
      <c r="J103" s="2"/>
      <c r="K103" s="2">
        <f t="shared" si="11"/>
        <v>462.73972602739724</v>
      </c>
      <c r="L103" s="12">
        <v>3</v>
      </c>
      <c r="M103" s="12">
        <f t="shared" si="6"/>
        <v>3</v>
      </c>
      <c r="O103" s="42">
        <f t="shared" ref="O103:O197" si="12">L103*F103</f>
        <v>231.36986301369862</v>
      </c>
    </row>
    <row r="104" spans="2:15" x14ac:dyDescent="0.3">
      <c r="B104" s="1" t="s">
        <v>117</v>
      </c>
      <c r="C104" s="1" t="s">
        <v>119</v>
      </c>
      <c r="D104" s="1"/>
      <c r="E104" s="46">
        <v>13.5</v>
      </c>
      <c r="F104" s="103">
        <f t="shared" si="8"/>
        <v>18.493150684931507</v>
      </c>
      <c r="G104" s="8">
        <f t="shared" si="10"/>
        <v>18</v>
      </c>
      <c r="H104" s="37">
        <f t="shared" si="9"/>
        <v>27</v>
      </c>
      <c r="I104" s="1">
        <v>3</v>
      </c>
      <c r="J104" s="2"/>
      <c r="K104" s="2">
        <f t="shared" si="11"/>
        <v>55.479452054794521</v>
      </c>
      <c r="L104" s="12">
        <v>2</v>
      </c>
      <c r="M104" s="12">
        <f t="shared" si="6"/>
        <v>1</v>
      </c>
      <c r="O104" s="42">
        <f t="shared" si="12"/>
        <v>36.986301369863014</v>
      </c>
    </row>
    <row r="105" spans="2:15" x14ac:dyDescent="0.3">
      <c r="B105" s="1" t="s">
        <v>117</v>
      </c>
      <c r="C105" s="1" t="s">
        <v>120</v>
      </c>
      <c r="D105" s="1"/>
      <c r="E105" s="46">
        <v>5.3</v>
      </c>
      <c r="F105" s="103">
        <f t="shared" si="8"/>
        <v>7.2602739726027394</v>
      </c>
      <c r="G105" s="8">
        <f t="shared" si="10"/>
        <v>7.0666666666666664</v>
      </c>
      <c r="H105" s="37">
        <f t="shared" si="9"/>
        <v>27</v>
      </c>
      <c r="I105" s="1">
        <v>6</v>
      </c>
      <c r="J105" s="2"/>
      <c r="K105" s="2">
        <f t="shared" si="11"/>
        <v>43.561643835616437</v>
      </c>
      <c r="L105" s="12"/>
      <c r="M105" s="12">
        <f t="shared" si="6"/>
        <v>6</v>
      </c>
      <c r="O105" s="42">
        <f t="shared" si="12"/>
        <v>0</v>
      </c>
    </row>
    <row r="106" spans="2:15" x14ac:dyDescent="0.3">
      <c r="B106" s="1" t="s">
        <v>121</v>
      </c>
      <c r="C106" s="1" t="s">
        <v>122</v>
      </c>
      <c r="D106" s="1"/>
      <c r="E106" s="46">
        <v>4.92</v>
      </c>
      <c r="F106" s="103">
        <f t="shared" si="8"/>
        <v>6.7397260273972606</v>
      </c>
      <c r="G106" s="8">
        <f t="shared" si="10"/>
        <v>6.56</v>
      </c>
      <c r="H106" s="37">
        <f t="shared" si="9"/>
        <v>27</v>
      </c>
      <c r="I106" s="1">
        <v>8</v>
      </c>
      <c r="J106" s="2"/>
      <c r="K106" s="2">
        <f t="shared" si="11"/>
        <v>53.917808219178085</v>
      </c>
      <c r="L106" s="12">
        <v>11</v>
      </c>
      <c r="M106" s="12">
        <f t="shared" si="6"/>
        <v>-3</v>
      </c>
      <c r="O106" s="42">
        <f t="shared" si="12"/>
        <v>74.136986301369859</v>
      </c>
    </row>
    <row r="107" spans="2:15" x14ac:dyDescent="0.3">
      <c r="B107" s="1" t="s">
        <v>121</v>
      </c>
      <c r="C107" s="1" t="s">
        <v>123</v>
      </c>
      <c r="D107" s="1"/>
      <c r="E107" s="46">
        <v>4.92</v>
      </c>
      <c r="F107" s="103">
        <f t="shared" si="8"/>
        <v>6.7397260273972606</v>
      </c>
      <c r="G107" s="8">
        <f t="shared" si="10"/>
        <v>6.56</v>
      </c>
      <c r="H107" s="37">
        <f t="shared" si="9"/>
        <v>27</v>
      </c>
      <c r="I107" s="1">
        <v>8</v>
      </c>
      <c r="J107" s="2"/>
      <c r="K107" s="2">
        <f t="shared" si="11"/>
        <v>53.917808219178085</v>
      </c>
      <c r="L107" s="12">
        <v>3</v>
      </c>
      <c r="M107" s="12">
        <f t="shared" si="6"/>
        <v>5</v>
      </c>
      <c r="O107" s="42">
        <f t="shared" si="12"/>
        <v>20.219178082191782</v>
      </c>
    </row>
    <row r="108" spans="2:15" x14ac:dyDescent="0.3">
      <c r="B108" s="1" t="s">
        <v>121</v>
      </c>
      <c r="C108" s="1" t="s">
        <v>124</v>
      </c>
      <c r="D108" s="1"/>
      <c r="E108" s="46">
        <v>4.92</v>
      </c>
      <c r="F108" s="103">
        <f t="shared" si="8"/>
        <v>6.7397260273972606</v>
      </c>
      <c r="G108" s="8">
        <f t="shared" si="10"/>
        <v>6.56</v>
      </c>
      <c r="H108" s="37">
        <f t="shared" si="9"/>
        <v>27</v>
      </c>
      <c r="I108" s="1">
        <v>8</v>
      </c>
      <c r="J108" s="2"/>
      <c r="K108" s="2">
        <f t="shared" si="11"/>
        <v>53.917808219178085</v>
      </c>
      <c r="L108" s="12">
        <v>5</v>
      </c>
      <c r="M108" s="12">
        <f t="shared" si="6"/>
        <v>3</v>
      </c>
      <c r="O108" s="42">
        <f t="shared" si="12"/>
        <v>33.698630136986303</v>
      </c>
    </row>
    <row r="109" spans="2:15" x14ac:dyDescent="0.3">
      <c r="B109" s="1" t="s">
        <v>121</v>
      </c>
      <c r="C109" s="1" t="s">
        <v>125</v>
      </c>
      <c r="D109" s="1"/>
      <c r="E109" s="46">
        <v>4.92</v>
      </c>
      <c r="F109" s="103">
        <f t="shared" si="8"/>
        <v>6.7397260273972606</v>
      </c>
      <c r="G109" s="8">
        <f t="shared" si="10"/>
        <v>6.56</v>
      </c>
      <c r="H109" s="37">
        <f t="shared" si="9"/>
        <v>27</v>
      </c>
      <c r="I109" s="1">
        <v>8</v>
      </c>
      <c r="J109" s="2"/>
      <c r="K109" s="2">
        <f t="shared" si="11"/>
        <v>53.917808219178085</v>
      </c>
      <c r="L109" s="12">
        <v>4</v>
      </c>
      <c r="M109" s="12">
        <f t="shared" si="6"/>
        <v>4</v>
      </c>
      <c r="O109" s="42">
        <f t="shared" si="12"/>
        <v>26.958904109589042</v>
      </c>
    </row>
    <row r="110" spans="2:15" x14ac:dyDescent="0.3">
      <c r="B110" s="1" t="s">
        <v>121</v>
      </c>
      <c r="C110" s="1" t="s">
        <v>126</v>
      </c>
      <c r="D110" s="1"/>
      <c r="E110" s="46">
        <v>4.92</v>
      </c>
      <c r="F110" s="103">
        <f t="shared" si="8"/>
        <v>6.7397260273972606</v>
      </c>
      <c r="G110" s="8">
        <f t="shared" si="10"/>
        <v>6.56</v>
      </c>
      <c r="H110" s="37">
        <f t="shared" si="9"/>
        <v>27</v>
      </c>
      <c r="I110" s="1">
        <v>8</v>
      </c>
      <c r="J110" s="2"/>
      <c r="K110" s="2">
        <f t="shared" si="11"/>
        <v>53.917808219178085</v>
      </c>
      <c r="L110" s="12">
        <v>1</v>
      </c>
      <c r="M110" s="12">
        <f t="shared" si="6"/>
        <v>7</v>
      </c>
      <c r="O110" s="42">
        <f t="shared" si="12"/>
        <v>6.7397260273972606</v>
      </c>
    </row>
    <row r="111" spans="2:15" x14ac:dyDescent="0.3">
      <c r="B111" s="1" t="s">
        <v>121</v>
      </c>
      <c r="C111" s="1" t="s">
        <v>127</v>
      </c>
      <c r="D111" s="1"/>
      <c r="E111" s="46">
        <v>4.92</v>
      </c>
      <c r="F111" s="103">
        <f t="shared" si="8"/>
        <v>6.7397260273972606</v>
      </c>
      <c r="G111" s="8">
        <f t="shared" si="10"/>
        <v>6.56</v>
      </c>
      <c r="H111" s="37">
        <f t="shared" si="9"/>
        <v>27</v>
      </c>
      <c r="I111" s="1">
        <v>8</v>
      </c>
      <c r="J111" s="2"/>
      <c r="K111" s="2">
        <f t="shared" si="11"/>
        <v>53.917808219178085</v>
      </c>
      <c r="L111" s="12">
        <v>2</v>
      </c>
      <c r="M111" s="12">
        <f t="shared" si="6"/>
        <v>6</v>
      </c>
      <c r="O111" s="43">
        <f t="shared" si="12"/>
        <v>13.479452054794521</v>
      </c>
    </row>
    <row r="112" spans="2:15" x14ac:dyDescent="0.3">
      <c r="B112" s="1" t="s">
        <v>121</v>
      </c>
      <c r="C112" s="1" t="s">
        <v>247</v>
      </c>
      <c r="D112" s="1"/>
      <c r="E112" s="46">
        <v>4.21</v>
      </c>
      <c r="F112" s="103">
        <f t="shared" si="8"/>
        <v>5.7671232876712333</v>
      </c>
      <c r="G112" s="8">
        <f t="shared" si="10"/>
        <v>5.6133333333333333</v>
      </c>
      <c r="H112" s="37">
        <f t="shared" si="9"/>
        <v>27.000000000000007</v>
      </c>
      <c r="I112" s="1">
        <v>6</v>
      </c>
      <c r="J112" s="2"/>
      <c r="K112" s="2"/>
      <c r="L112" s="12"/>
      <c r="M112" s="12">
        <f t="shared" si="6"/>
        <v>6</v>
      </c>
      <c r="O112" s="43"/>
    </row>
    <row r="113" spans="1:18" x14ac:dyDescent="0.3">
      <c r="B113" s="1" t="s">
        <v>121</v>
      </c>
      <c r="C113" s="1" t="s">
        <v>248</v>
      </c>
      <c r="D113" s="1"/>
      <c r="E113" s="46">
        <v>4.21</v>
      </c>
      <c r="F113" s="103">
        <f t="shared" si="8"/>
        <v>5.7671232876712333</v>
      </c>
      <c r="G113" s="8">
        <f t="shared" si="10"/>
        <v>5.6133333333333333</v>
      </c>
      <c r="H113" s="37">
        <f t="shared" si="9"/>
        <v>27.000000000000007</v>
      </c>
      <c r="I113" s="1">
        <v>6</v>
      </c>
      <c r="J113" s="2"/>
      <c r="K113" s="2"/>
      <c r="L113" s="12"/>
      <c r="M113" s="12">
        <f t="shared" si="6"/>
        <v>6</v>
      </c>
      <c r="O113" s="43"/>
    </row>
    <row r="114" spans="1:18" x14ac:dyDescent="0.3">
      <c r="B114" s="1" t="s">
        <v>121</v>
      </c>
      <c r="C114" s="1" t="s">
        <v>249</v>
      </c>
      <c r="D114" s="1"/>
      <c r="E114" s="46">
        <v>4.21</v>
      </c>
      <c r="F114" s="103">
        <f t="shared" si="8"/>
        <v>5.7671232876712333</v>
      </c>
      <c r="G114" s="8">
        <f t="shared" si="10"/>
        <v>5.6133333333333333</v>
      </c>
      <c r="H114" s="37">
        <f t="shared" si="9"/>
        <v>27.000000000000007</v>
      </c>
      <c r="I114" s="1">
        <v>6</v>
      </c>
      <c r="J114" s="2"/>
      <c r="K114" s="2"/>
      <c r="L114" s="12"/>
      <c r="M114" s="12">
        <f t="shared" si="6"/>
        <v>6</v>
      </c>
      <c r="O114" s="43"/>
    </row>
    <row r="115" spans="1:18" x14ac:dyDescent="0.3">
      <c r="B115" s="1" t="s">
        <v>121</v>
      </c>
      <c r="C115" s="1" t="s">
        <v>250</v>
      </c>
      <c r="D115" s="1"/>
      <c r="E115" s="46">
        <v>4.21</v>
      </c>
      <c r="F115" s="103">
        <f t="shared" si="8"/>
        <v>5.7671232876712333</v>
      </c>
      <c r="G115" s="8">
        <f t="shared" si="10"/>
        <v>5.6133333333333333</v>
      </c>
      <c r="H115" s="37">
        <f t="shared" si="9"/>
        <v>27.000000000000007</v>
      </c>
      <c r="I115" s="1">
        <v>6</v>
      </c>
      <c r="J115" s="2"/>
      <c r="K115" s="2"/>
      <c r="L115" s="12"/>
      <c r="M115" s="12">
        <f t="shared" si="6"/>
        <v>6</v>
      </c>
      <c r="O115" s="43"/>
    </row>
    <row r="116" spans="1:18" x14ac:dyDescent="0.3">
      <c r="B116" s="1" t="s">
        <v>253</v>
      </c>
      <c r="C116" s="1" t="s">
        <v>251</v>
      </c>
      <c r="D116" s="1"/>
      <c r="E116" s="46">
        <v>6.27</v>
      </c>
      <c r="F116" s="103">
        <f t="shared" si="8"/>
        <v>8.5890410958904102</v>
      </c>
      <c r="G116" s="8">
        <f t="shared" si="10"/>
        <v>8.36</v>
      </c>
      <c r="H116" s="37">
        <f t="shared" si="9"/>
        <v>26.999999999999996</v>
      </c>
      <c r="I116" s="1">
        <v>48</v>
      </c>
      <c r="J116" s="2"/>
      <c r="K116" s="2"/>
      <c r="L116" s="12">
        <v>11</v>
      </c>
      <c r="M116" s="12">
        <f t="shared" si="6"/>
        <v>37</v>
      </c>
      <c r="O116" s="43"/>
    </row>
    <row r="117" spans="1:18" x14ac:dyDescent="0.3">
      <c r="B117" s="1" t="s">
        <v>253</v>
      </c>
      <c r="C117" s="1" t="s">
        <v>252</v>
      </c>
      <c r="D117" s="1"/>
      <c r="E117" s="46">
        <v>6.27</v>
      </c>
      <c r="F117" s="103">
        <f t="shared" si="8"/>
        <v>8.5890410958904102</v>
      </c>
      <c r="G117" s="8"/>
      <c r="H117" s="37">
        <f t="shared" si="9"/>
        <v>26.999999999999996</v>
      </c>
      <c r="I117" s="1">
        <v>19</v>
      </c>
      <c r="J117" s="2"/>
      <c r="K117" s="2"/>
      <c r="L117" s="12">
        <v>17</v>
      </c>
      <c r="M117" s="12">
        <f t="shared" si="6"/>
        <v>2</v>
      </c>
      <c r="O117" s="43"/>
    </row>
    <row r="118" spans="1:18" x14ac:dyDescent="0.3">
      <c r="B118" s="1" t="s">
        <v>128</v>
      </c>
      <c r="C118" s="1" t="s">
        <v>129</v>
      </c>
      <c r="D118" s="1"/>
      <c r="E118" s="46">
        <v>11.3</v>
      </c>
      <c r="F118" s="103">
        <f t="shared" si="8"/>
        <v>15.479452054794521</v>
      </c>
      <c r="G118" s="8">
        <f t="shared" si="10"/>
        <v>15.066666666666668</v>
      </c>
      <c r="H118" s="37">
        <f t="shared" si="9"/>
        <v>26.999999999999996</v>
      </c>
      <c r="I118" s="1">
        <v>12</v>
      </c>
      <c r="J118" s="2"/>
      <c r="K118" s="2">
        <f t="shared" si="11"/>
        <v>185.75342465753425</v>
      </c>
      <c r="L118" s="12">
        <v>1</v>
      </c>
      <c r="M118" s="12">
        <f t="shared" si="6"/>
        <v>11</v>
      </c>
      <c r="O118" s="42">
        <f t="shared" si="12"/>
        <v>15.479452054794521</v>
      </c>
    </row>
    <row r="119" spans="1:18" x14ac:dyDescent="0.3">
      <c r="B119" s="1" t="s">
        <v>130</v>
      </c>
      <c r="C119" s="1" t="s">
        <v>131</v>
      </c>
      <c r="D119" s="1"/>
      <c r="E119" s="46">
        <v>6.15</v>
      </c>
      <c r="F119" s="103">
        <f t="shared" si="8"/>
        <v>8.4246575342465757</v>
      </c>
      <c r="G119" s="8">
        <f t="shared" si="10"/>
        <v>8.2000000000000011</v>
      </c>
      <c r="H119" s="37">
        <f t="shared" si="9"/>
        <v>26.999999999999996</v>
      </c>
      <c r="I119" s="1">
        <v>144</v>
      </c>
      <c r="J119" s="2"/>
      <c r="K119" s="2">
        <f t="shared" si="11"/>
        <v>1213.1506849315069</v>
      </c>
      <c r="L119" s="12">
        <v>8</v>
      </c>
      <c r="M119" s="12">
        <f t="shared" si="6"/>
        <v>136</v>
      </c>
      <c r="O119" s="42">
        <f t="shared" si="12"/>
        <v>67.397260273972606</v>
      </c>
    </row>
    <row r="120" spans="1:18" x14ac:dyDescent="0.3">
      <c r="B120" s="1" t="s">
        <v>130</v>
      </c>
      <c r="C120" s="1" t="s">
        <v>132</v>
      </c>
      <c r="D120" s="1" t="s">
        <v>116</v>
      </c>
      <c r="E120" s="46"/>
      <c r="F120" s="103">
        <f t="shared" si="8"/>
        <v>0</v>
      </c>
      <c r="G120" s="8">
        <f t="shared" si="10"/>
        <v>0</v>
      </c>
      <c r="H120" s="37" t="e">
        <f t="shared" si="9"/>
        <v>#DIV/0!</v>
      </c>
      <c r="I120" s="1">
        <v>12</v>
      </c>
      <c r="J120" s="2"/>
      <c r="K120" s="2"/>
      <c r="L120" s="12">
        <v>8</v>
      </c>
      <c r="M120" s="12">
        <f t="shared" si="6"/>
        <v>4</v>
      </c>
      <c r="O120" s="42">
        <f t="shared" si="12"/>
        <v>0</v>
      </c>
    </row>
    <row r="121" spans="1:18" x14ac:dyDescent="0.3">
      <c r="B121" s="1" t="s">
        <v>133</v>
      </c>
      <c r="C121" s="1" t="s">
        <v>134</v>
      </c>
      <c r="D121" s="1"/>
      <c r="E121" s="46">
        <v>10.3</v>
      </c>
      <c r="F121" s="103">
        <f t="shared" si="8"/>
        <v>14.109589041095891</v>
      </c>
      <c r="G121" s="8">
        <f t="shared" si="10"/>
        <v>13.733333333333334</v>
      </c>
      <c r="H121" s="37">
        <f t="shared" si="9"/>
        <v>26.999999999999996</v>
      </c>
      <c r="I121" s="1">
        <v>6</v>
      </c>
      <c r="J121" s="2"/>
      <c r="K121" s="2">
        <f t="shared" si="11"/>
        <v>84.657534246575352</v>
      </c>
      <c r="L121" s="12"/>
      <c r="M121" s="12">
        <f t="shared" si="6"/>
        <v>6</v>
      </c>
      <c r="O121" s="42">
        <f t="shared" si="12"/>
        <v>0</v>
      </c>
    </row>
    <row r="122" spans="1:18" ht="19.5" thickBot="1" x14ac:dyDescent="0.35">
      <c r="B122" s="3" t="s">
        <v>133</v>
      </c>
      <c r="C122" s="3" t="s">
        <v>135</v>
      </c>
      <c r="D122" s="3"/>
      <c r="E122" s="47">
        <v>6</v>
      </c>
      <c r="F122" s="103">
        <f t="shared" si="8"/>
        <v>8.2191780821917817</v>
      </c>
      <c r="G122" s="19">
        <f t="shared" si="10"/>
        <v>8</v>
      </c>
      <c r="H122" s="37">
        <f t="shared" si="9"/>
        <v>27.000000000000007</v>
      </c>
      <c r="I122" s="3">
        <v>6</v>
      </c>
      <c r="J122" s="4"/>
      <c r="K122" s="4">
        <f t="shared" si="11"/>
        <v>49.31506849315069</v>
      </c>
      <c r="L122" s="21"/>
      <c r="M122" s="21">
        <f t="shared" si="6"/>
        <v>6</v>
      </c>
      <c r="O122" s="42">
        <f t="shared" si="12"/>
        <v>0</v>
      </c>
    </row>
    <row r="123" spans="1:18" x14ac:dyDescent="0.3">
      <c r="A123" s="198" t="s">
        <v>226</v>
      </c>
      <c r="B123" s="80" t="s">
        <v>166</v>
      </c>
      <c r="C123" s="16" t="s">
        <v>141</v>
      </c>
      <c r="D123" s="16"/>
      <c r="E123" s="48">
        <v>21.47</v>
      </c>
      <c r="F123" s="103">
        <f t="shared" si="8"/>
        <v>29.410958904109588</v>
      </c>
      <c r="G123" s="18">
        <f t="shared" si="10"/>
        <v>28.626666666666665</v>
      </c>
      <c r="H123" s="37">
        <f t="shared" si="9"/>
        <v>27</v>
      </c>
      <c r="I123" s="16">
        <v>5</v>
      </c>
      <c r="J123" s="17"/>
      <c r="K123" s="17"/>
      <c r="L123" s="20">
        <v>5</v>
      </c>
      <c r="M123" s="20">
        <f t="shared" si="6"/>
        <v>0</v>
      </c>
      <c r="O123" s="42">
        <f t="shared" si="12"/>
        <v>147.05479452054794</v>
      </c>
    </row>
    <row r="124" spans="1:18" x14ac:dyDescent="0.3">
      <c r="A124" s="199"/>
      <c r="B124" s="81" t="s">
        <v>167</v>
      </c>
      <c r="C124" s="25" t="s">
        <v>142</v>
      </c>
      <c r="D124" s="1"/>
      <c r="E124" s="46">
        <v>2.4500000000000002</v>
      </c>
      <c r="F124" s="103">
        <f t="shared" si="8"/>
        <v>3.3561643835616444</v>
      </c>
      <c r="G124" s="8">
        <f t="shared" si="10"/>
        <v>3.2666666666666671</v>
      </c>
      <c r="H124" s="37">
        <f>(F124-E124)/F124*(100)</f>
        <v>27.000000000000007</v>
      </c>
      <c r="I124" s="1">
        <v>222</v>
      </c>
      <c r="J124" s="2"/>
      <c r="K124" s="2"/>
      <c r="L124" s="12">
        <f>13+6+6+1+12+1+1+1+6+2+6+12+1+2+3+6+12+6+6</f>
        <v>103</v>
      </c>
      <c r="M124" s="12">
        <f t="shared" si="6"/>
        <v>119</v>
      </c>
      <c r="O124" s="42">
        <f t="shared" si="12"/>
        <v>345.68493150684935</v>
      </c>
      <c r="R124">
        <f>9709.14+49.14+278.67+452.6</f>
        <v>10489.55</v>
      </c>
    </row>
    <row r="125" spans="1:18" x14ac:dyDescent="0.3">
      <c r="A125" s="199"/>
      <c r="B125" s="81" t="s">
        <v>167</v>
      </c>
      <c r="C125" s="1" t="s">
        <v>145</v>
      </c>
      <c r="D125" s="1"/>
      <c r="E125" s="46">
        <v>4.05</v>
      </c>
      <c r="F125" s="103">
        <f t="shared" si="8"/>
        <v>5.5479452054794516</v>
      </c>
      <c r="G125" s="8">
        <f t="shared" si="10"/>
        <v>5.3999999999999995</v>
      </c>
      <c r="H125" s="37">
        <f t="shared" si="9"/>
        <v>26.999999999999996</v>
      </c>
      <c r="I125" s="1">
        <v>240</v>
      </c>
      <c r="J125" s="2"/>
      <c r="K125" s="2"/>
      <c r="L125" s="12">
        <f>19+2+6+4+1+2+12+4</f>
        <v>50</v>
      </c>
      <c r="M125" s="12">
        <f t="shared" si="6"/>
        <v>190</v>
      </c>
      <c r="O125" s="42">
        <f t="shared" si="12"/>
        <v>277.39726027397256</v>
      </c>
    </row>
    <row r="126" spans="1:18" x14ac:dyDescent="0.3">
      <c r="A126" s="199"/>
      <c r="B126" s="81" t="s">
        <v>130</v>
      </c>
      <c r="C126" s="25" t="s">
        <v>146</v>
      </c>
      <c r="D126" s="1"/>
      <c r="E126" s="46">
        <v>1.63</v>
      </c>
      <c r="F126" s="103">
        <f t="shared" si="8"/>
        <v>2.2328767123287672</v>
      </c>
      <c r="G126" s="8">
        <f t="shared" si="10"/>
        <v>2.1733333333333333</v>
      </c>
      <c r="H126" s="37">
        <f t="shared" si="9"/>
        <v>27.000000000000007</v>
      </c>
      <c r="I126" s="1">
        <f>204+72</f>
        <v>276</v>
      </c>
      <c r="J126" s="2"/>
      <c r="K126" s="2"/>
      <c r="L126" s="12">
        <f>102+1+1+2+2+1+1+1+1+1+1+1+1+1</f>
        <v>117</v>
      </c>
      <c r="M126" s="12">
        <f t="shared" si="6"/>
        <v>159</v>
      </c>
      <c r="O126" s="42">
        <f t="shared" si="12"/>
        <v>261.24657534246575</v>
      </c>
      <c r="Q126">
        <f>72+24</f>
        <v>96</v>
      </c>
    </row>
    <row r="127" spans="1:18" x14ac:dyDescent="0.3">
      <c r="A127" s="199"/>
      <c r="B127" s="81" t="s">
        <v>168</v>
      </c>
      <c r="C127" s="1" t="s">
        <v>147</v>
      </c>
      <c r="D127" s="1"/>
      <c r="E127" s="46">
        <v>1.0449999999999999</v>
      </c>
      <c r="F127" s="103">
        <f t="shared" si="8"/>
        <v>1.4315068493150684</v>
      </c>
      <c r="G127" s="8">
        <f t="shared" si="10"/>
        <v>1.3933333333333333</v>
      </c>
      <c r="H127" s="37">
        <f t="shared" si="9"/>
        <v>27</v>
      </c>
      <c r="I127" s="1">
        <v>45</v>
      </c>
      <c r="J127" s="2"/>
      <c r="K127" s="2"/>
      <c r="L127" s="12">
        <f>20+1+1+1+1+1+1+1+1+1+1+1</f>
        <v>31</v>
      </c>
      <c r="M127" s="12">
        <f t="shared" si="6"/>
        <v>14</v>
      </c>
      <c r="O127" s="42">
        <f t="shared" si="12"/>
        <v>44.37671232876712</v>
      </c>
    </row>
    <row r="128" spans="1:18" x14ac:dyDescent="0.3">
      <c r="A128" s="199"/>
      <c r="B128" s="81" t="s">
        <v>168</v>
      </c>
      <c r="C128" s="1" t="s">
        <v>230</v>
      </c>
      <c r="D128" s="1"/>
      <c r="E128" s="46">
        <v>2.65</v>
      </c>
      <c r="F128" s="103">
        <f t="shared" si="8"/>
        <v>3.6301369863013697</v>
      </c>
      <c r="G128" s="8">
        <f t="shared" si="10"/>
        <v>3.5333333333333332</v>
      </c>
      <c r="H128" s="37">
        <f t="shared" si="9"/>
        <v>27</v>
      </c>
      <c r="I128" s="1">
        <v>12</v>
      </c>
      <c r="J128" s="2"/>
      <c r="K128" s="2"/>
      <c r="L128" s="12">
        <v>9</v>
      </c>
      <c r="M128" s="12">
        <f t="shared" si="6"/>
        <v>3</v>
      </c>
      <c r="O128" s="42">
        <f t="shared" si="12"/>
        <v>32.671232876712324</v>
      </c>
    </row>
    <row r="129" spans="1:15" x14ac:dyDescent="0.3">
      <c r="A129" s="199"/>
      <c r="B129" s="81" t="s">
        <v>168</v>
      </c>
      <c r="C129" s="1" t="s">
        <v>230</v>
      </c>
      <c r="D129" s="1"/>
      <c r="E129" s="46">
        <v>2.65</v>
      </c>
      <c r="F129" s="103">
        <f t="shared" si="8"/>
        <v>3.6301369863013697</v>
      </c>
      <c r="G129" s="8">
        <f t="shared" si="10"/>
        <v>3.5333333333333332</v>
      </c>
      <c r="H129" s="37">
        <f t="shared" si="9"/>
        <v>27</v>
      </c>
      <c r="I129" s="1"/>
      <c r="J129" s="2"/>
      <c r="K129" s="2"/>
      <c r="L129" s="12"/>
      <c r="M129" s="12">
        <f t="shared" si="6"/>
        <v>0</v>
      </c>
      <c r="O129" s="42">
        <f t="shared" si="12"/>
        <v>0</v>
      </c>
    </row>
    <row r="130" spans="1:15" x14ac:dyDescent="0.3">
      <c r="A130" s="199"/>
      <c r="B130" s="81" t="s">
        <v>130</v>
      </c>
      <c r="C130" s="25" t="s">
        <v>148</v>
      </c>
      <c r="D130" s="1"/>
      <c r="E130" s="46">
        <v>1.63</v>
      </c>
      <c r="F130" s="103">
        <f t="shared" si="8"/>
        <v>2.2328767123287672</v>
      </c>
      <c r="G130" s="8">
        <f t="shared" si="10"/>
        <v>2.1733333333333333</v>
      </c>
      <c r="H130" s="37">
        <f t="shared" si="9"/>
        <v>27.000000000000007</v>
      </c>
      <c r="I130" s="1">
        <f>132+60+60</f>
        <v>252</v>
      </c>
      <c r="J130" s="2"/>
      <c r="K130" s="2"/>
      <c r="L130" s="12">
        <f>64+1+1+1+1+1+1+1+1+2+1+1+1+1+1+1+1+1+1+2+2+1+1+1+5+1+3+1+1+2+1</f>
        <v>104</v>
      </c>
      <c r="M130" s="12">
        <f t="shared" si="6"/>
        <v>148</v>
      </c>
      <c r="O130" s="42">
        <f t="shared" si="12"/>
        <v>232.21917808219177</v>
      </c>
    </row>
    <row r="131" spans="1:15" x14ac:dyDescent="0.3">
      <c r="A131" s="199"/>
      <c r="B131" s="81" t="s">
        <v>130</v>
      </c>
      <c r="C131" s="1" t="s">
        <v>149</v>
      </c>
      <c r="D131" s="1"/>
      <c r="E131" s="46">
        <v>1.63</v>
      </c>
      <c r="F131" s="103">
        <f t="shared" si="8"/>
        <v>2.2328767123287672</v>
      </c>
      <c r="G131" s="8">
        <f t="shared" si="10"/>
        <v>2.1733333333333333</v>
      </c>
      <c r="H131" s="37">
        <f t="shared" si="9"/>
        <v>27.000000000000007</v>
      </c>
      <c r="I131" s="1">
        <v>12</v>
      </c>
      <c r="J131" s="2"/>
      <c r="K131" s="2"/>
      <c r="L131" s="12">
        <v>4</v>
      </c>
      <c r="M131" s="12">
        <f t="shared" si="6"/>
        <v>8</v>
      </c>
      <c r="O131" s="42">
        <f t="shared" si="12"/>
        <v>8.9315068493150687</v>
      </c>
    </row>
    <row r="132" spans="1:15" x14ac:dyDescent="0.3">
      <c r="A132" s="199"/>
      <c r="B132" s="81" t="s">
        <v>242</v>
      </c>
      <c r="C132" s="1" t="s">
        <v>243</v>
      </c>
      <c r="D132" s="1"/>
      <c r="E132" s="46"/>
      <c r="F132" s="103">
        <f t="shared" si="8"/>
        <v>0</v>
      </c>
      <c r="G132" s="8"/>
      <c r="H132" s="37" t="e">
        <f t="shared" si="9"/>
        <v>#DIV/0!</v>
      </c>
      <c r="I132" s="1">
        <v>10</v>
      </c>
      <c r="J132" s="2"/>
      <c r="K132" s="2"/>
      <c r="L132" s="12">
        <v>6</v>
      </c>
      <c r="M132" s="12">
        <f t="shared" ref="M132:M211" si="13">I132-L132</f>
        <v>4</v>
      </c>
      <c r="O132" s="42"/>
    </row>
    <row r="133" spans="1:15" x14ac:dyDescent="0.3">
      <c r="A133" s="199"/>
      <c r="B133" s="81" t="s">
        <v>242</v>
      </c>
      <c r="C133" s="1" t="s">
        <v>244</v>
      </c>
      <c r="D133" s="1"/>
      <c r="E133" s="46"/>
      <c r="F133" s="103">
        <f t="shared" ref="F133:F196" si="14">E133/(1-0.27)</f>
        <v>0</v>
      </c>
      <c r="G133" s="8"/>
      <c r="H133" s="37" t="e">
        <f t="shared" si="9"/>
        <v>#DIV/0!</v>
      </c>
      <c r="I133" s="1">
        <v>20</v>
      </c>
      <c r="J133" s="2"/>
      <c r="K133" s="2"/>
      <c r="L133" s="12">
        <v>14</v>
      </c>
      <c r="M133" s="12">
        <f t="shared" si="13"/>
        <v>6</v>
      </c>
      <c r="O133" s="42"/>
    </row>
    <row r="134" spans="1:15" x14ac:dyDescent="0.3">
      <c r="A134" s="199"/>
      <c r="B134" s="81" t="s">
        <v>166</v>
      </c>
      <c r="C134" s="25" t="s">
        <v>150</v>
      </c>
      <c r="D134" s="1"/>
      <c r="E134" s="46">
        <v>0.77</v>
      </c>
      <c r="F134" s="103">
        <f t="shared" si="14"/>
        <v>1.0547945205479452</v>
      </c>
      <c r="G134" s="8">
        <f t="shared" si="10"/>
        <v>1.0266666666666666</v>
      </c>
      <c r="H134" s="37">
        <f t="shared" si="9"/>
        <v>26.999999999999996</v>
      </c>
      <c r="I134" s="1">
        <v>525</v>
      </c>
      <c r="J134" s="2"/>
      <c r="K134" s="2"/>
      <c r="L134" s="12">
        <f>89+1+1+1+1+1+1+1+1+1+1+2+1+1+1+1+2</f>
        <v>107</v>
      </c>
      <c r="M134" s="12">
        <f t="shared" si="13"/>
        <v>418</v>
      </c>
      <c r="O134" s="42">
        <f t="shared" si="12"/>
        <v>112.86301369863014</v>
      </c>
    </row>
    <row r="135" spans="1:15" ht="19.5" thickBot="1" x14ac:dyDescent="0.35">
      <c r="A135" s="200"/>
      <c r="B135" s="79" t="s">
        <v>166</v>
      </c>
      <c r="C135" s="3" t="s">
        <v>151</v>
      </c>
      <c r="D135" s="3"/>
      <c r="E135" s="47">
        <v>6.86</v>
      </c>
      <c r="F135" s="103">
        <f t="shared" si="14"/>
        <v>9.3972602739726039</v>
      </c>
      <c r="G135" s="19">
        <f t="shared" si="10"/>
        <v>9.1466666666666665</v>
      </c>
      <c r="H135" s="31">
        <f t="shared" si="9"/>
        <v>27.000000000000007</v>
      </c>
      <c r="I135" s="3">
        <v>10</v>
      </c>
      <c r="J135" s="4"/>
      <c r="K135" s="4"/>
      <c r="L135" s="21">
        <v>2</v>
      </c>
      <c r="M135" s="21">
        <f t="shared" si="13"/>
        <v>8</v>
      </c>
      <c r="O135" s="42">
        <f t="shared" si="12"/>
        <v>18.794520547945208</v>
      </c>
    </row>
    <row r="136" spans="1:15" x14ac:dyDescent="0.3">
      <c r="A136" s="195" t="s">
        <v>225</v>
      </c>
      <c r="B136" s="77" t="s">
        <v>196</v>
      </c>
      <c r="C136" s="94" t="s">
        <v>197</v>
      </c>
      <c r="D136" s="73"/>
      <c r="E136" s="51">
        <v>7.25</v>
      </c>
      <c r="F136" s="103">
        <f t="shared" si="14"/>
        <v>9.9315068493150687</v>
      </c>
      <c r="G136" s="74">
        <f t="shared" si="10"/>
        <v>9.6666666666666661</v>
      </c>
      <c r="H136" s="37">
        <f t="shared" si="9"/>
        <v>27</v>
      </c>
      <c r="I136" s="73">
        <v>39</v>
      </c>
      <c r="J136" s="75"/>
      <c r="K136" s="75"/>
      <c r="L136" s="76">
        <v>18</v>
      </c>
      <c r="M136" s="76">
        <f t="shared" si="13"/>
        <v>21</v>
      </c>
      <c r="O136" s="42">
        <f t="shared" si="12"/>
        <v>178.76712328767124</v>
      </c>
    </row>
    <row r="137" spans="1:15" x14ac:dyDescent="0.3">
      <c r="A137" s="196"/>
      <c r="B137" s="78" t="s">
        <v>196</v>
      </c>
      <c r="C137" s="1" t="s">
        <v>200</v>
      </c>
      <c r="D137" s="14"/>
      <c r="E137" s="50">
        <v>3.75</v>
      </c>
      <c r="F137" s="103">
        <f t="shared" si="14"/>
        <v>5.1369863013698636</v>
      </c>
      <c r="G137" s="60">
        <f t="shared" si="10"/>
        <v>5</v>
      </c>
      <c r="H137" s="37">
        <f t="shared" si="9"/>
        <v>27.000000000000007</v>
      </c>
      <c r="I137" s="14">
        <v>24</v>
      </c>
      <c r="J137" s="61"/>
      <c r="K137" s="61"/>
      <c r="L137" s="22">
        <v>7</v>
      </c>
      <c r="M137" s="22">
        <f t="shared" si="13"/>
        <v>17</v>
      </c>
      <c r="O137" s="42">
        <f t="shared" si="12"/>
        <v>35.958904109589042</v>
      </c>
    </row>
    <row r="138" spans="1:15" x14ac:dyDescent="0.3">
      <c r="A138" s="196"/>
      <c r="B138" s="78" t="s">
        <v>196</v>
      </c>
      <c r="C138" s="1" t="s">
        <v>202</v>
      </c>
      <c r="D138" s="14"/>
      <c r="E138" s="50"/>
      <c r="F138" s="103">
        <f t="shared" si="14"/>
        <v>0</v>
      </c>
      <c r="G138" s="74">
        <f t="shared" si="10"/>
        <v>0</v>
      </c>
      <c r="H138" s="37" t="e">
        <f t="shared" si="9"/>
        <v>#DIV/0!</v>
      </c>
      <c r="I138" s="14"/>
      <c r="J138" s="61"/>
      <c r="K138" s="61"/>
      <c r="L138" s="22"/>
      <c r="M138" s="22">
        <f t="shared" si="13"/>
        <v>0</v>
      </c>
      <c r="O138" s="42">
        <f t="shared" si="12"/>
        <v>0</v>
      </c>
    </row>
    <row r="139" spans="1:15" x14ac:dyDescent="0.3">
      <c r="A139" s="196"/>
      <c r="B139" s="78" t="s">
        <v>196</v>
      </c>
      <c r="C139" s="94" t="s">
        <v>201</v>
      </c>
      <c r="D139" s="14"/>
      <c r="E139" s="50">
        <v>1.66</v>
      </c>
      <c r="F139" s="103">
        <f t="shared" si="14"/>
        <v>2.2739726027397258</v>
      </c>
      <c r="G139" s="60">
        <f t="shared" si="10"/>
        <v>2.2133333333333334</v>
      </c>
      <c r="H139" s="37">
        <f t="shared" si="9"/>
        <v>26.999999999999996</v>
      </c>
      <c r="I139" s="14">
        <v>60</v>
      </c>
      <c r="J139" s="61"/>
      <c r="K139" s="61"/>
      <c r="L139" s="22">
        <v>23</v>
      </c>
      <c r="M139" s="22">
        <f t="shared" si="13"/>
        <v>37</v>
      </c>
      <c r="O139" s="42">
        <f t="shared" si="12"/>
        <v>52.30136986301369</v>
      </c>
    </row>
    <row r="140" spans="1:15" x14ac:dyDescent="0.3">
      <c r="A140" s="196"/>
      <c r="B140" s="78" t="s">
        <v>196</v>
      </c>
      <c r="C140" s="14" t="s">
        <v>198</v>
      </c>
      <c r="D140" s="14"/>
      <c r="E140" s="50">
        <v>6.87</v>
      </c>
      <c r="F140" s="103">
        <f t="shared" si="14"/>
        <v>9.4109589041095898</v>
      </c>
      <c r="G140" s="74">
        <f t="shared" si="10"/>
        <v>9.16</v>
      </c>
      <c r="H140" s="37">
        <f t="shared" si="9"/>
        <v>27.000000000000007</v>
      </c>
      <c r="I140" s="14">
        <v>5</v>
      </c>
      <c r="J140" s="61"/>
      <c r="K140" s="61"/>
      <c r="L140" s="22">
        <v>5</v>
      </c>
      <c r="M140" s="22">
        <f t="shared" si="13"/>
        <v>0</v>
      </c>
      <c r="O140" s="42">
        <f t="shared" si="12"/>
        <v>47.054794520547951</v>
      </c>
    </row>
    <row r="141" spans="1:15" x14ac:dyDescent="0.3">
      <c r="A141" s="196"/>
      <c r="B141" s="78" t="s">
        <v>196</v>
      </c>
      <c r="C141" s="95" t="s">
        <v>199</v>
      </c>
      <c r="D141" s="14"/>
      <c r="E141" s="50">
        <v>5</v>
      </c>
      <c r="F141" s="103">
        <f t="shared" si="14"/>
        <v>6.8493150684931505</v>
      </c>
      <c r="G141" s="60">
        <f t="shared" si="10"/>
        <v>6.666666666666667</v>
      </c>
      <c r="H141" s="37">
        <f t="shared" si="9"/>
        <v>26.999999999999996</v>
      </c>
      <c r="I141" s="14">
        <f>11+6</f>
        <v>17</v>
      </c>
      <c r="J141" s="61"/>
      <c r="K141" s="61"/>
      <c r="L141" s="22">
        <v>12</v>
      </c>
      <c r="M141" s="22">
        <f t="shared" si="13"/>
        <v>5</v>
      </c>
      <c r="N141">
        <f>12*4</f>
        <v>48</v>
      </c>
      <c r="O141" s="42">
        <f t="shared" si="12"/>
        <v>82.191780821917803</v>
      </c>
    </row>
    <row r="142" spans="1:15" x14ac:dyDescent="0.3">
      <c r="A142" s="196"/>
      <c r="B142" s="78" t="s">
        <v>166</v>
      </c>
      <c r="C142" s="95" t="s">
        <v>203</v>
      </c>
      <c r="D142" s="14"/>
      <c r="E142" s="50">
        <v>0.8</v>
      </c>
      <c r="F142" s="103">
        <f t="shared" si="14"/>
        <v>1.0958904109589043</v>
      </c>
      <c r="G142" s="74">
        <f t="shared" si="10"/>
        <v>1.0666666666666667</v>
      </c>
      <c r="H142" s="37">
        <f t="shared" si="9"/>
        <v>27.000000000000007</v>
      </c>
      <c r="I142" s="14">
        <v>31</v>
      </c>
      <c r="J142" s="61"/>
      <c r="K142" s="61"/>
      <c r="L142" s="22">
        <f>6+1+1+1+1+1+1+1+1+1</f>
        <v>15</v>
      </c>
      <c r="M142" s="22">
        <f t="shared" si="13"/>
        <v>16</v>
      </c>
      <c r="O142" s="42">
        <f t="shared" si="12"/>
        <v>16.438356164383563</v>
      </c>
    </row>
    <row r="143" spans="1:15" x14ac:dyDescent="0.3">
      <c r="A143" s="196"/>
      <c r="B143" s="78" t="s">
        <v>166</v>
      </c>
      <c r="C143" s="95" t="s">
        <v>285</v>
      </c>
      <c r="D143" s="14"/>
      <c r="E143" s="50"/>
      <c r="F143" s="103">
        <f t="shared" si="14"/>
        <v>0</v>
      </c>
      <c r="G143" s="74"/>
      <c r="H143" s="37"/>
      <c r="I143" s="14"/>
      <c r="J143" s="61"/>
      <c r="K143" s="61"/>
      <c r="L143" s="22">
        <v>5</v>
      </c>
      <c r="M143" s="22"/>
      <c r="O143" s="42"/>
    </row>
    <row r="144" spans="1:15" x14ac:dyDescent="0.3">
      <c r="A144" s="196"/>
      <c r="B144" s="78" t="s">
        <v>166</v>
      </c>
      <c r="C144" s="14" t="s">
        <v>238</v>
      </c>
      <c r="D144" s="14"/>
      <c r="E144" s="50">
        <f>12/15</f>
        <v>0.8</v>
      </c>
      <c r="F144" s="103">
        <f t="shared" si="14"/>
        <v>1.0958904109589043</v>
      </c>
      <c r="G144" s="74"/>
      <c r="H144" s="37">
        <f t="shared" si="9"/>
        <v>27.000000000000007</v>
      </c>
      <c r="I144" s="14">
        <v>15</v>
      </c>
      <c r="J144" s="61"/>
      <c r="K144" s="61"/>
      <c r="L144" s="22">
        <v>5</v>
      </c>
      <c r="M144" s="22">
        <f t="shared" si="13"/>
        <v>10</v>
      </c>
      <c r="O144" s="42">
        <f t="shared" si="12"/>
        <v>5.4794520547945211</v>
      </c>
    </row>
    <row r="145" spans="1:19" x14ac:dyDescent="0.3">
      <c r="A145" s="196"/>
      <c r="B145" s="78" t="s">
        <v>166</v>
      </c>
      <c r="C145" s="14" t="s">
        <v>204</v>
      </c>
      <c r="D145" s="14"/>
      <c r="E145" s="50">
        <v>2.375</v>
      </c>
      <c r="F145" s="103">
        <f t="shared" si="14"/>
        <v>3.2534246575342465</v>
      </c>
      <c r="G145" s="60">
        <f t="shared" si="10"/>
        <v>3.1666666666666665</v>
      </c>
      <c r="H145" s="37">
        <f t="shared" si="9"/>
        <v>26.999999999999996</v>
      </c>
      <c r="I145" s="14">
        <v>31</v>
      </c>
      <c r="J145" s="61"/>
      <c r="K145" s="61"/>
      <c r="L145" s="22">
        <v>10</v>
      </c>
      <c r="M145" s="22">
        <f t="shared" si="13"/>
        <v>21</v>
      </c>
      <c r="O145" s="42">
        <f t="shared" si="12"/>
        <v>32.534246575342465</v>
      </c>
    </row>
    <row r="146" spans="1:19" ht="19.5" thickBot="1" x14ac:dyDescent="0.35">
      <c r="A146" s="197"/>
      <c r="B146" s="86" t="s">
        <v>130</v>
      </c>
      <c r="C146" s="29" t="s">
        <v>205</v>
      </c>
      <c r="D146" s="3"/>
      <c r="E146" s="47">
        <v>1.4</v>
      </c>
      <c r="F146" s="103">
        <f t="shared" si="14"/>
        <v>1.9178082191780821</v>
      </c>
      <c r="G146" s="87">
        <f t="shared" si="10"/>
        <v>1.8666666666666665</v>
      </c>
      <c r="H146" s="31">
        <f t="shared" si="9"/>
        <v>27</v>
      </c>
      <c r="I146" s="3">
        <v>52</v>
      </c>
      <c r="J146" s="4"/>
      <c r="K146" s="4"/>
      <c r="L146" s="21">
        <v>23</v>
      </c>
      <c r="M146" s="21">
        <f t="shared" si="13"/>
        <v>29</v>
      </c>
      <c r="O146" s="42">
        <f t="shared" si="12"/>
        <v>44.109589041095887</v>
      </c>
    </row>
    <row r="147" spans="1:19" x14ac:dyDescent="0.3">
      <c r="A147" s="201" t="s">
        <v>227</v>
      </c>
      <c r="B147" s="77" t="s">
        <v>196</v>
      </c>
      <c r="C147" s="94" t="s">
        <v>207</v>
      </c>
      <c r="D147" s="73"/>
      <c r="E147" s="51">
        <v>1.8</v>
      </c>
      <c r="F147" s="103">
        <f t="shared" si="14"/>
        <v>2.4657534246575343</v>
      </c>
      <c r="G147" s="74">
        <f t="shared" si="10"/>
        <v>2.4</v>
      </c>
      <c r="H147" s="37">
        <f t="shared" si="9"/>
        <v>27</v>
      </c>
      <c r="I147" s="73">
        <f>12+12</f>
        <v>24</v>
      </c>
      <c r="J147" s="75"/>
      <c r="K147" s="75"/>
      <c r="L147" s="76">
        <v>20</v>
      </c>
      <c r="M147" s="76">
        <f t="shared" si="13"/>
        <v>4</v>
      </c>
      <c r="O147" s="42">
        <f t="shared" si="12"/>
        <v>49.31506849315069</v>
      </c>
      <c r="Q147">
        <f>100-8</f>
        <v>92</v>
      </c>
    </row>
    <row r="148" spans="1:19" x14ac:dyDescent="0.3">
      <c r="A148" s="202"/>
      <c r="B148" s="78" t="s">
        <v>196</v>
      </c>
      <c r="C148" s="14" t="s">
        <v>208</v>
      </c>
      <c r="D148" s="14"/>
      <c r="E148" s="50">
        <v>1.7</v>
      </c>
      <c r="F148" s="103">
        <f t="shared" si="14"/>
        <v>2.3287671232876712</v>
      </c>
      <c r="G148" s="74">
        <f t="shared" si="10"/>
        <v>2.2666666666666666</v>
      </c>
      <c r="H148" s="37">
        <f t="shared" si="9"/>
        <v>27</v>
      </c>
      <c r="I148" s="14">
        <v>12</v>
      </c>
      <c r="J148" s="61"/>
      <c r="K148" s="61"/>
      <c r="L148" s="22">
        <v>2</v>
      </c>
      <c r="M148" s="22">
        <f t="shared" si="13"/>
        <v>10</v>
      </c>
      <c r="O148" s="42">
        <f t="shared" si="12"/>
        <v>4.6575342465753424</v>
      </c>
    </row>
    <row r="149" spans="1:19" x14ac:dyDescent="0.3">
      <c r="A149" s="202"/>
      <c r="B149" s="78" t="s">
        <v>196</v>
      </c>
      <c r="C149" s="14" t="s">
        <v>210</v>
      </c>
      <c r="D149" s="14"/>
      <c r="E149" s="50">
        <v>2.74</v>
      </c>
      <c r="F149" s="103">
        <f t="shared" si="14"/>
        <v>3.7534246575342469</v>
      </c>
      <c r="G149" s="60">
        <f t="shared" si="10"/>
        <v>3.6533333333333338</v>
      </c>
      <c r="H149" s="37">
        <f t="shared" si="9"/>
        <v>27</v>
      </c>
      <c r="I149" s="14">
        <v>6</v>
      </c>
      <c r="J149" s="61"/>
      <c r="K149" s="61"/>
      <c r="L149" s="22">
        <v>2</v>
      </c>
      <c r="M149" s="22">
        <f t="shared" si="13"/>
        <v>4</v>
      </c>
      <c r="O149" s="42">
        <f t="shared" si="12"/>
        <v>7.5068493150684938</v>
      </c>
    </row>
    <row r="150" spans="1:19" x14ac:dyDescent="0.3">
      <c r="A150" s="202"/>
      <c r="B150" s="78" t="s">
        <v>196</v>
      </c>
      <c r="C150" s="14" t="s">
        <v>209</v>
      </c>
      <c r="D150" s="14"/>
      <c r="E150" s="50">
        <v>4.8600000000000003</v>
      </c>
      <c r="F150" s="103">
        <f t="shared" si="14"/>
        <v>6.6575342465753433</v>
      </c>
      <c r="G150" s="74">
        <f t="shared" si="10"/>
        <v>6.48</v>
      </c>
      <c r="H150" s="37">
        <f t="shared" si="9"/>
        <v>27</v>
      </c>
      <c r="I150" s="14">
        <v>6</v>
      </c>
      <c r="J150" s="61"/>
      <c r="K150" s="61"/>
      <c r="L150" s="22">
        <v>4</v>
      </c>
      <c r="M150" s="22">
        <f t="shared" si="13"/>
        <v>2</v>
      </c>
      <c r="O150" s="42">
        <f t="shared" si="12"/>
        <v>26.630136986301373</v>
      </c>
    </row>
    <row r="151" spans="1:19" x14ac:dyDescent="0.3">
      <c r="A151" s="202"/>
      <c r="B151" s="78" t="s">
        <v>196</v>
      </c>
      <c r="C151" s="95" t="s">
        <v>228</v>
      </c>
      <c r="D151" s="14"/>
      <c r="E151" s="50">
        <v>5.35</v>
      </c>
      <c r="F151" s="103">
        <f t="shared" si="14"/>
        <v>7.3287671232876708</v>
      </c>
      <c r="G151" s="60">
        <f t="shared" si="10"/>
        <v>7.1333333333333329</v>
      </c>
      <c r="H151" s="37">
        <f t="shared" si="9"/>
        <v>27</v>
      </c>
      <c r="I151" s="14">
        <f>6+6+6</f>
        <v>18</v>
      </c>
      <c r="J151" s="61"/>
      <c r="K151" s="61"/>
      <c r="L151" s="22">
        <v>14</v>
      </c>
      <c r="M151" s="22">
        <f t="shared" si="13"/>
        <v>4</v>
      </c>
      <c r="O151" s="42">
        <f t="shared" si="12"/>
        <v>102.60273972602739</v>
      </c>
      <c r="S151">
        <f>44+6+6</f>
        <v>56</v>
      </c>
    </row>
    <row r="152" spans="1:19" x14ac:dyDescent="0.3">
      <c r="A152" s="202"/>
      <c r="B152" s="78" t="s">
        <v>196</v>
      </c>
      <c r="C152" s="95" t="s">
        <v>211</v>
      </c>
      <c r="D152" s="14"/>
      <c r="E152" s="50">
        <v>1.8</v>
      </c>
      <c r="F152" s="103">
        <f t="shared" si="14"/>
        <v>2.4657534246575343</v>
      </c>
      <c r="G152" s="74">
        <f t="shared" si="10"/>
        <v>2.4</v>
      </c>
      <c r="H152" s="37">
        <f t="shared" si="9"/>
        <v>27</v>
      </c>
      <c r="I152" s="14">
        <f>12+12</f>
        <v>24</v>
      </c>
      <c r="J152" s="61"/>
      <c r="K152" s="61"/>
      <c r="L152" s="22">
        <v>19</v>
      </c>
      <c r="M152" s="22">
        <f t="shared" si="13"/>
        <v>5</v>
      </c>
      <c r="O152" s="42">
        <f>L152*F152</f>
        <v>46.849315068493155</v>
      </c>
    </row>
    <row r="153" spans="1:19" x14ac:dyDescent="0.3">
      <c r="A153" s="202"/>
      <c r="B153" s="78" t="s">
        <v>196</v>
      </c>
      <c r="C153" s="14" t="s">
        <v>215</v>
      </c>
      <c r="D153" s="14"/>
      <c r="E153" s="50">
        <v>1.7</v>
      </c>
      <c r="F153" s="103">
        <f t="shared" si="14"/>
        <v>2.3287671232876712</v>
      </c>
      <c r="G153" s="60">
        <f t="shared" si="10"/>
        <v>2.2666666666666666</v>
      </c>
      <c r="H153" s="37">
        <f t="shared" si="9"/>
        <v>27</v>
      </c>
      <c r="I153" s="14">
        <v>12</v>
      </c>
      <c r="J153" s="61"/>
      <c r="K153" s="61"/>
      <c r="L153" s="22"/>
      <c r="M153" s="22">
        <f t="shared" si="13"/>
        <v>12</v>
      </c>
      <c r="O153" s="42">
        <f t="shared" si="12"/>
        <v>0</v>
      </c>
    </row>
    <row r="154" spans="1:19" x14ac:dyDescent="0.3">
      <c r="A154" s="202"/>
      <c r="B154" s="78" t="s">
        <v>196</v>
      </c>
      <c r="C154" s="14" t="s">
        <v>212</v>
      </c>
      <c r="D154" s="14"/>
      <c r="E154" s="50">
        <v>2.74</v>
      </c>
      <c r="F154" s="103">
        <f t="shared" si="14"/>
        <v>3.7534246575342469</v>
      </c>
      <c r="G154" s="74">
        <f t="shared" si="10"/>
        <v>3.6533333333333338</v>
      </c>
      <c r="H154" s="37">
        <f t="shared" si="9"/>
        <v>27</v>
      </c>
      <c r="I154" s="14">
        <v>6</v>
      </c>
      <c r="J154" s="61"/>
      <c r="K154" s="61"/>
      <c r="L154" s="22">
        <v>1</v>
      </c>
      <c r="M154" s="22">
        <f t="shared" si="13"/>
        <v>5</v>
      </c>
      <c r="O154" s="42">
        <f t="shared" si="12"/>
        <v>3.7534246575342469</v>
      </c>
    </row>
    <row r="155" spans="1:19" x14ac:dyDescent="0.3">
      <c r="A155" s="202"/>
      <c r="B155" s="78" t="s">
        <v>196</v>
      </c>
      <c r="C155" s="14" t="s">
        <v>214</v>
      </c>
      <c r="D155" s="14"/>
      <c r="E155" s="50">
        <v>4.0250000000000004</v>
      </c>
      <c r="F155" s="103">
        <f t="shared" si="14"/>
        <v>5.5136986301369868</v>
      </c>
      <c r="G155" s="60">
        <f t="shared" si="10"/>
        <v>5.3666666666666671</v>
      </c>
      <c r="H155" s="37">
        <f t="shared" si="9"/>
        <v>27</v>
      </c>
      <c r="I155" s="14">
        <v>6</v>
      </c>
      <c r="J155" s="61"/>
      <c r="K155" s="61"/>
      <c r="L155" s="22">
        <v>4</v>
      </c>
      <c r="M155" s="22">
        <f t="shared" si="13"/>
        <v>2</v>
      </c>
      <c r="O155" s="42">
        <f t="shared" si="12"/>
        <v>22.054794520547947</v>
      </c>
    </row>
    <row r="156" spans="1:19" x14ac:dyDescent="0.3">
      <c r="A156" s="202"/>
      <c r="B156" s="78" t="s">
        <v>196</v>
      </c>
      <c r="C156" s="95" t="s">
        <v>213</v>
      </c>
      <c r="D156" s="14"/>
      <c r="E156" s="50">
        <v>5.35</v>
      </c>
      <c r="F156" s="103">
        <f t="shared" si="14"/>
        <v>7.3287671232876708</v>
      </c>
      <c r="G156" s="74">
        <f t="shared" si="10"/>
        <v>7.1333333333333329</v>
      </c>
      <c r="H156" s="37">
        <f t="shared" si="9"/>
        <v>27</v>
      </c>
      <c r="I156" s="14">
        <v>18</v>
      </c>
      <c r="J156" s="61"/>
      <c r="K156" s="61"/>
      <c r="L156" s="22">
        <v>12</v>
      </c>
      <c r="M156" s="22">
        <f t="shared" si="13"/>
        <v>6</v>
      </c>
      <c r="O156" s="42">
        <f t="shared" si="12"/>
        <v>87.945205479452056</v>
      </c>
    </row>
    <row r="157" spans="1:19" x14ac:dyDescent="0.3">
      <c r="A157" s="202"/>
      <c r="B157" s="78" t="s">
        <v>196</v>
      </c>
      <c r="C157" s="14" t="s">
        <v>216</v>
      </c>
      <c r="D157" s="14"/>
      <c r="E157" s="50">
        <v>1.25</v>
      </c>
      <c r="F157" s="103">
        <f t="shared" si="14"/>
        <v>1.7123287671232876</v>
      </c>
      <c r="G157" s="60">
        <f t="shared" si="10"/>
        <v>1.6666666666666667</v>
      </c>
      <c r="H157" s="37">
        <f t="shared" si="9"/>
        <v>26.999999999999996</v>
      </c>
      <c r="I157" s="14">
        <v>12</v>
      </c>
      <c r="J157" s="61"/>
      <c r="K157" s="61"/>
      <c r="L157" s="22">
        <v>2</v>
      </c>
      <c r="M157" s="22">
        <f t="shared" si="13"/>
        <v>10</v>
      </c>
      <c r="O157" s="42">
        <f t="shared" si="12"/>
        <v>3.4246575342465753</v>
      </c>
    </row>
    <row r="158" spans="1:19" x14ac:dyDescent="0.3">
      <c r="A158" s="202"/>
      <c r="B158" s="78" t="s">
        <v>196</v>
      </c>
      <c r="C158" s="14" t="s">
        <v>217</v>
      </c>
      <c r="D158" s="14"/>
      <c r="E158" s="50">
        <v>3.24</v>
      </c>
      <c r="F158" s="103">
        <f t="shared" si="14"/>
        <v>4.4383561643835616</v>
      </c>
      <c r="G158" s="74">
        <f t="shared" si="10"/>
        <v>4.32</v>
      </c>
      <c r="H158" s="37">
        <f t="shared" si="9"/>
        <v>26.999999999999996</v>
      </c>
      <c r="I158" s="14">
        <v>6</v>
      </c>
      <c r="J158" s="61"/>
      <c r="K158" s="61"/>
      <c r="L158" s="22">
        <v>5</v>
      </c>
      <c r="M158" s="22">
        <f t="shared" si="13"/>
        <v>1</v>
      </c>
      <c r="O158" s="42">
        <f t="shared" si="12"/>
        <v>22.19178082191781</v>
      </c>
      <c r="R158">
        <f>0.8+0.8+7+1.5</f>
        <v>10.1</v>
      </c>
    </row>
    <row r="159" spans="1:19" x14ac:dyDescent="0.3">
      <c r="A159" s="202"/>
      <c r="B159" s="78" t="s">
        <v>196</v>
      </c>
      <c r="C159" s="14" t="s">
        <v>218</v>
      </c>
      <c r="D159" s="14"/>
      <c r="E159" s="50">
        <v>1.25</v>
      </c>
      <c r="F159" s="103">
        <f t="shared" si="14"/>
        <v>1.7123287671232876</v>
      </c>
      <c r="G159" s="60">
        <f t="shared" si="10"/>
        <v>1.6666666666666667</v>
      </c>
      <c r="H159" s="37">
        <f t="shared" si="9"/>
        <v>26.999999999999996</v>
      </c>
      <c r="I159" s="14">
        <v>12</v>
      </c>
      <c r="J159" s="61"/>
      <c r="K159" s="61"/>
      <c r="L159" s="22">
        <v>3</v>
      </c>
      <c r="M159" s="22">
        <f t="shared" si="13"/>
        <v>9</v>
      </c>
      <c r="O159" s="42">
        <f t="shared" si="12"/>
        <v>5.1369863013698627</v>
      </c>
    </row>
    <row r="160" spans="1:19" x14ac:dyDescent="0.3">
      <c r="A160" s="202"/>
      <c r="B160" s="78" t="s">
        <v>196</v>
      </c>
      <c r="C160" s="14" t="s">
        <v>219</v>
      </c>
      <c r="D160" s="14"/>
      <c r="E160" s="50">
        <v>3.24</v>
      </c>
      <c r="F160" s="103">
        <f t="shared" si="14"/>
        <v>4.4383561643835616</v>
      </c>
      <c r="G160" s="74">
        <f t="shared" si="10"/>
        <v>4.32</v>
      </c>
      <c r="H160" s="37">
        <f t="shared" si="9"/>
        <v>26.999999999999996</v>
      </c>
      <c r="I160" s="14">
        <v>6</v>
      </c>
      <c r="J160" s="61"/>
      <c r="K160" s="61"/>
      <c r="L160" s="22">
        <v>1</v>
      </c>
      <c r="M160" s="22">
        <f t="shared" si="13"/>
        <v>5</v>
      </c>
      <c r="O160" s="42">
        <f t="shared" si="12"/>
        <v>4.4383561643835616</v>
      </c>
    </row>
    <row r="161" spans="1:20" x14ac:dyDescent="0.3">
      <c r="A161" s="202"/>
      <c r="B161" s="78" t="s">
        <v>196</v>
      </c>
      <c r="C161" s="14" t="s">
        <v>267</v>
      </c>
      <c r="D161" s="14"/>
      <c r="E161" s="50">
        <v>0.87</v>
      </c>
      <c r="F161" s="103">
        <f t="shared" si="14"/>
        <v>1.1917808219178083</v>
      </c>
      <c r="G161" s="74">
        <f t="shared" si="10"/>
        <v>1.1599999999999999</v>
      </c>
      <c r="H161" s="37">
        <f t="shared" si="9"/>
        <v>27.000000000000007</v>
      </c>
      <c r="I161" s="14">
        <v>12</v>
      </c>
      <c r="J161" s="61"/>
      <c r="K161" s="61"/>
      <c r="L161" s="22">
        <v>1</v>
      </c>
      <c r="M161" s="22">
        <f t="shared" si="13"/>
        <v>11</v>
      </c>
      <c r="O161" s="42">
        <f t="shared" si="12"/>
        <v>1.1917808219178083</v>
      </c>
      <c r="P161">
        <f>36+36</f>
        <v>72</v>
      </c>
    </row>
    <row r="162" spans="1:20" x14ac:dyDescent="0.3">
      <c r="A162" s="202"/>
      <c r="B162" s="78" t="s">
        <v>224</v>
      </c>
      <c r="C162" s="14" t="s">
        <v>220</v>
      </c>
      <c r="D162" s="14"/>
      <c r="E162" s="50">
        <v>2.5299999999999998</v>
      </c>
      <c r="F162" s="103">
        <f t="shared" si="14"/>
        <v>3.4657534246575339</v>
      </c>
      <c r="G162" s="60">
        <f t="shared" si="10"/>
        <v>3.3733333333333331</v>
      </c>
      <c r="H162" s="37">
        <f t="shared" si="9"/>
        <v>26.999999999999996</v>
      </c>
      <c r="I162" s="14">
        <v>12</v>
      </c>
      <c r="J162" s="61"/>
      <c r="K162" s="61"/>
      <c r="L162" s="22">
        <v>6</v>
      </c>
      <c r="M162" s="22">
        <f t="shared" si="13"/>
        <v>6</v>
      </c>
      <c r="O162" s="42">
        <f t="shared" si="12"/>
        <v>20.794520547945204</v>
      </c>
    </row>
    <row r="163" spans="1:20" x14ac:dyDescent="0.3">
      <c r="A163" s="202"/>
      <c r="B163" s="78" t="s">
        <v>224</v>
      </c>
      <c r="C163" s="95" t="s">
        <v>229</v>
      </c>
      <c r="D163" s="14"/>
      <c r="E163" s="50">
        <v>1.68</v>
      </c>
      <c r="F163" s="103">
        <f t="shared" si="14"/>
        <v>2.3013698630136985</v>
      </c>
      <c r="G163" s="74">
        <f t="shared" si="10"/>
        <v>2.2399999999999998</v>
      </c>
      <c r="H163" s="37">
        <f t="shared" si="9"/>
        <v>26.999999999999996</v>
      </c>
      <c r="I163" s="14">
        <v>36</v>
      </c>
      <c r="J163" s="61"/>
      <c r="K163" s="61"/>
      <c r="L163" s="22">
        <v>19</v>
      </c>
      <c r="M163" s="22">
        <f t="shared" si="13"/>
        <v>17</v>
      </c>
      <c r="O163" s="42">
        <f t="shared" si="12"/>
        <v>43.726027397260275</v>
      </c>
    </row>
    <row r="164" spans="1:20" x14ac:dyDescent="0.3">
      <c r="A164" s="202"/>
      <c r="B164" s="78" t="s">
        <v>166</v>
      </c>
      <c r="C164" s="14" t="s">
        <v>221</v>
      </c>
      <c r="D164" s="14"/>
      <c r="E164" s="50">
        <v>2.5299999999999998</v>
      </c>
      <c r="F164" s="103">
        <f t="shared" si="14"/>
        <v>3.4657534246575339</v>
      </c>
      <c r="G164" s="60">
        <f t="shared" si="10"/>
        <v>3.3733333333333331</v>
      </c>
      <c r="H164" s="37">
        <f t="shared" si="9"/>
        <v>26.999999999999996</v>
      </c>
      <c r="I164" s="14">
        <v>6</v>
      </c>
      <c r="J164" s="61"/>
      <c r="K164" s="61"/>
      <c r="L164" s="22">
        <v>1</v>
      </c>
      <c r="M164" s="22">
        <f t="shared" si="13"/>
        <v>5</v>
      </c>
      <c r="O164" s="42">
        <f t="shared" si="12"/>
        <v>3.4657534246575339</v>
      </c>
      <c r="Q164">
        <f>145.5-150</f>
        <v>-4.5</v>
      </c>
      <c r="T164">
        <f>4.5+4.5+5</f>
        <v>14</v>
      </c>
    </row>
    <row r="165" spans="1:20" x14ac:dyDescent="0.3">
      <c r="A165" s="202"/>
      <c r="B165" s="78" t="s">
        <v>166</v>
      </c>
      <c r="C165" s="14" t="s">
        <v>222</v>
      </c>
      <c r="D165" s="14"/>
      <c r="E165" s="50">
        <v>1.47</v>
      </c>
      <c r="F165" s="103">
        <f t="shared" si="14"/>
        <v>2.0136986301369864</v>
      </c>
      <c r="G165" s="74">
        <f t="shared" si="10"/>
        <v>1.96</v>
      </c>
      <c r="H165" s="37">
        <f>(F165-E165)/F165*(100)</f>
        <v>27</v>
      </c>
      <c r="I165" s="14">
        <v>6</v>
      </c>
      <c r="J165" s="61"/>
      <c r="K165" s="61"/>
      <c r="L165" s="22">
        <v>2</v>
      </c>
      <c r="M165" s="22">
        <f t="shared" si="13"/>
        <v>4</v>
      </c>
      <c r="O165" s="42">
        <f t="shared" si="12"/>
        <v>4.0273972602739727</v>
      </c>
    </row>
    <row r="166" spans="1:20" ht="19.5" thickBot="1" x14ac:dyDescent="0.35">
      <c r="A166" s="203"/>
      <c r="B166" s="3" t="s">
        <v>166</v>
      </c>
      <c r="C166" s="3" t="s">
        <v>223</v>
      </c>
      <c r="D166" s="3"/>
      <c r="E166" s="47">
        <v>0.89</v>
      </c>
      <c r="F166" s="103">
        <f t="shared" si="14"/>
        <v>1.2191780821917808</v>
      </c>
      <c r="G166" s="19">
        <f t="shared" si="10"/>
        <v>1.1866666666666668</v>
      </c>
      <c r="H166" s="31">
        <f t="shared" si="9"/>
        <v>26.999999999999996</v>
      </c>
      <c r="I166" s="3">
        <v>45</v>
      </c>
      <c r="J166" s="4"/>
      <c r="K166" s="4"/>
      <c r="L166" s="21">
        <v>12</v>
      </c>
      <c r="M166" s="21">
        <f t="shared" si="13"/>
        <v>33</v>
      </c>
      <c r="O166" s="42">
        <f t="shared" si="12"/>
        <v>14.63013698630137</v>
      </c>
    </row>
    <row r="167" spans="1:20" x14ac:dyDescent="0.3">
      <c r="A167" s="83"/>
      <c r="B167" s="16" t="s">
        <v>196</v>
      </c>
      <c r="C167" s="16" t="s">
        <v>235</v>
      </c>
      <c r="D167" s="16"/>
      <c r="E167" s="48">
        <v>6.92</v>
      </c>
      <c r="F167" s="103">
        <f t="shared" si="14"/>
        <v>9.4794520547945211</v>
      </c>
      <c r="G167" s="18">
        <f t="shared" si="10"/>
        <v>9.2266666666666666</v>
      </c>
      <c r="H167" s="37">
        <f t="shared" si="9"/>
        <v>27.000000000000007</v>
      </c>
      <c r="I167" s="16">
        <v>8</v>
      </c>
      <c r="J167" s="17"/>
      <c r="K167" s="17"/>
      <c r="L167" s="20">
        <v>2</v>
      </c>
      <c r="M167" s="20">
        <f t="shared" si="13"/>
        <v>6</v>
      </c>
      <c r="O167" s="42">
        <f t="shared" si="12"/>
        <v>18.958904109589042</v>
      </c>
    </row>
    <row r="168" spans="1:20" x14ac:dyDescent="0.3">
      <c r="A168" s="83"/>
      <c r="B168" s="1" t="s">
        <v>234</v>
      </c>
      <c r="C168" s="1" t="s">
        <v>236</v>
      </c>
      <c r="D168" s="1"/>
      <c r="E168" s="46">
        <v>4.5599999999999996</v>
      </c>
      <c r="F168" s="103">
        <f t="shared" si="14"/>
        <v>6.2465753424657526</v>
      </c>
      <c r="G168" s="8">
        <f t="shared" si="10"/>
        <v>6.0799999999999992</v>
      </c>
      <c r="H168" s="26">
        <f t="shared" si="9"/>
        <v>26.999999999999996</v>
      </c>
      <c r="I168" s="1">
        <v>12</v>
      </c>
      <c r="J168" s="2"/>
      <c r="K168" s="2"/>
      <c r="L168" s="12">
        <v>3</v>
      </c>
      <c r="M168" s="12">
        <f t="shared" si="13"/>
        <v>9</v>
      </c>
      <c r="O168" s="42"/>
    </row>
    <row r="169" spans="1:20" x14ac:dyDescent="0.3">
      <c r="A169" s="83"/>
      <c r="B169" s="1" t="s">
        <v>196</v>
      </c>
      <c r="C169" s="1" t="s">
        <v>237</v>
      </c>
      <c r="D169" s="1"/>
      <c r="E169" s="46">
        <v>1.41</v>
      </c>
      <c r="F169" s="103">
        <f t="shared" si="14"/>
        <v>1.9315068493150684</v>
      </c>
      <c r="G169" s="8">
        <f t="shared" si="10"/>
        <v>1.88</v>
      </c>
      <c r="H169" s="26">
        <f t="shared" si="9"/>
        <v>27</v>
      </c>
      <c r="I169" s="1">
        <v>15</v>
      </c>
      <c r="J169" s="2"/>
      <c r="K169" s="2"/>
      <c r="L169" s="12">
        <v>6</v>
      </c>
      <c r="M169" s="12">
        <f t="shared" si="13"/>
        <v>9</v>
      </c>
      <c r="O169" s="42"/>
    </row>
    <row r="170" spans="1:20" ht="19.5" thickBot="1" x14ac:dyDescent="0.35">
      <c r="B170" s="39" t="s">
        <v>167</v>
      </c>
      <c r="C170" s="39" t="s">
        <v>153</v>
      </c>
      <c r="D170" s="39"/>
      <c r="E170" s="52">
        <v>3.64</v>
      </c>
      <c r="F170" s="103">
        <f t="shared" si="14"/>
        <v>4.9863013698630141</v>
      </c>
      <c r="G170" s="74">
        <f t="shared" si="10"/>
        <v>4.8533333333333335</v>
      </c>
      <c r="H170" s="37">
        <f t="shared" si="9"/>
        <v>27</v>
      </c>
      <c r="I170" s="39">
        <v>240</v>
      </c>
      <c r="J170" s="84"/>
      <c r="K170" s="84"/>
      <c r="L170" s="85">
        <f>80+6</f>
        <v>86</v>
      </c>
      <c r="M170" s="85">
        <f t="shared" si="13"/>
        <v>154</v>
      </c>
      <c r="O170" s="42">
        <f t="shared" si="12"/>
        <v>428.82191780821921</v>
      </c>
      <c r="Q170">
        <f>34*6</f>
        <v>204</v>
      </c>
    </row>
    <row r="171" spans="1:20" ht="19.5" thickBot="1" x14ac:dyDescent="0.35">
      <c r="B171" s="3" t="s">
        <v>167</v>
      </c>
      <c r="C171" s="38" t="s">
        <v>154</v>
      </c>
      <c r="D171" s="38"/>
      <c r="E171" s="38">
        <v>4.83</v>
      </c>
      <c r="F171" s="103">
        <f t="shared" si="14"/>
        <v>6.6164383561643838</v>
      </c>
      <c r="G171" s="38">
        <f t="shared" si="10"/>
        <v>6.44</v>
      </c>
      <c r="H171" s="38">
        <f t="shared" si="9"/>
        <v>27</v>
      </c>
      <c r="I171" s="38">
        <f>708+144+120+120+144+132+300</f>
        <v>1668</v>
      </c>
      <c r="J171" s="20"/>
      <c r="K171" s="20"/>
      <c r="L171" s="20">
        <f>1046+8+7+5+72+24+11+6+2+6+12+1+2+48+12+48+13+10+42+2+2+12+16+12+4+2+3+12+21+7+6+4+12+2+2+8+3+12</f>
        <v>1517</v>
      </c>
      <c r="M171" s="20">
        <f t="shared" si="13"/>
        <v>151</v>
      </c>
      <c r="N171">
        <f>M171/12</f>
        <v>12.583333333333334</v>
      </c>
      <c r="O171" s="42">
        <f t="shared" si="12"/>
        <v>10037.13698630137</v>
      </c>
      <c r="Q171">
        <f>M171/12</f>
        <v>12.583333333333334</v>
      </c>
    </row>
    <row r="172" spans="1:20" ht="19.5" thickBot="1" x14ac:dyDescent="0.35">
      <c r="B172" s="3" t="s">
        <v>167</v>
      </c>
      <c r="C172" s="38" t="s">
        <v>245</v>
      </c>
      <c r="D172" s="38"/>
      <c r="E172" s="38">
        <v>4.83</v>
      </c>
      <c r="F172" s="103">
        <f t="shared" si="14"/>
        <v>6.6164383561643838</v>
      </c>
      <c r="G172" s="38">
        <f t="shared" si="10"/>
        <v>6.44</v>
      </c>
      <c r="H172" s="38">
        <f t="shared" si="9"/>
        <v>27</v>
      </c>
      <c r="I172" s="38">
        <f>36+60+120+180+144+84+240</f>
        <v>864</v>
      </c>
      <c r="J172" s="20"/>
      <c r="K172" s="20"/>
      <c r="L172" s="20">
        <f>14+12+12+24+12+3+180+12+6+4+12+18+6+24+12+12+18+18+6+6+12+10+12+6+9+9+9+29+6+3+2+12+12+1+2</f>
        <v>545</v>
      </c>
      <c r="M172" s="20">
        <f t="shared" si="13"/>
        <v>319</v>
      </c>
      <c r="N172">
        <f>M172/12</f>
        <v>26.583333333333332</v>
      </c>
      <c r="O172" s="42"/>
    </row>
    <row r="173" spans="1:20" ht="19.5" thickBot="1" x14ac:dyDescent="0.35">
      <c r="B173" s="3" t="s">
        <v>167</v>
      </c>
      <c r="C173" s="38" t="s">
        <v>290</v>
      </c>
      <c r="D173" s="38"/>
      <c r="E173" s="38"/>
      <c r="F173" s="103">
        <f t="shared" si="14"/>
        <v>0</v>
      </c>
      <c r="G173" s="38"/>
      <c r="H173" s="38"/>
      <c r="I173" s="38">
        <v>138</v>
      </c>
      <c r="J173" s="20"/>
      <c r="K173" s="20"/>
      <c r="L173" s="20">
        <f>29+6+6+6+1+4+6+2+6+6+1+6+4+24+6+2+6</f>
        <v>121</v>
      </c>
      <c r="M173" s="20">
        <f t="shared" si="13"/>
        <v>17</v>
      </c>
      <c r="O173" s="42"/>
    </row>
    <row r="174" spans="1:20" ht="19.5" thickBot="1" x14ac:dyDescent="0.35">
      <c r="B174" s="3" t="s">
        <v>167</v>
      </c>
      <c r="C174" s="38" t="s">
        <v>292</v>
      </c>
      <c r="D174" s="38"/>
      <c r="E174" s="38"/>
      <c r="F174" s="103">
        <f t="shared" si="14"/>
        <v>0</v>
      </c>
      <c r="G174" s="94"/>
      <c r="H174" s="38"/>
      <c r="I174" s="38">
        <v>36</v>
      </c>
      <c r="J174" s="20"/>
      <c r="K174" s="20"/>
      <c r="L174" s="20">
        <f>26+12+6+2</f>
        <v>46</v>
      </c>
      <c r="M174" s="20">
        <f t="shared" si="13"/>
        <v>-10</v>
      </c>
      <c r="O174" s="42"/>
    </row>
    <row r="175" spans="1:20" ht="19.5" thickBot="1" x14ac:dyDescent="0.35">
      <c r="B175" s="3" t="s">
        <v>167</v>
      </c>
      <c r="C175" s="1" t="s">
        <v>155</v>
      </c>
      <c r="D175" s="12"/>
      <c r="E175" s="46">
        <v>35.68</v>
      </c>
      <c r="F175" s="103">
        <f t="shared" si="14"/>
        <v>48.876712328767127</v>
      </c>
      <c r="G175" s="74">
        <f t="shared" si="10"/>
        <v>47.573333333333331</v>
      </c>
      <c r="H175" s="37">
        <f t="shared" si="9"/>
        <v>27.000000000000007</v>
      </c>
      <c r="I175" s="1">
        <v>50</v>
      </c>
      <c r="J175" s="12"/>
      <c r="K175" s="15"/>
      <c r="L175" s="12">
        <v>4</v>
      </c>
      <c r="M175" s="12">
        <f t="shared" si="13"/>
        <v>46</v>
      </c>
      <c r="O175" s="42"/>
    </row>
    <row r="176" spans="1:20" ht="19.5" thickBot="1" x14ac:dyDescent="0.35">
      <c r="A176">
        <f>100-14</f>
        <v>86</v>
      </c>
      <c r="B176" s="3" t="s">
        <v>167</v>
      </c>
      <c r="C176" s="25" t="s">
        <v>157</v>
      </c>
      <c r="D176" s="12"/>
      <c r="E176" s="46">
        <v>2.97</v>
      </c>
      <c r="F176" s="103">
        <f t="shared" si="14"/>
        <v>4.0684931506849322</v>
      </c>
      <c r="G176" s="60">
        <f t="shared" si="10"/>
        <v>3.9600000000000004</v>
      </c>
      <c r="H176" s="37">
        <f t="shared" si="9"/>
        <v>27.000000000000007</v>
      </c>
      <c r="I176" s="1">
        <v>600</v>
      </c>
      <c r="J176" s="12"/>
      <c r="K176" s="15"/>
      <c r="L176" s="12">
        <f>14+2+12+24+12+6+12+6+1+12+6+3+6+9+12+12+2+2+6+6+6+24+1+12+2+4+6+1+3+5+3+6+12+6+12+12+1+6+6</f>
        <v>293</v>
      </c>
      <c r="M176" s="12">
        <f t="shared" si="13"/>
        <v>307</v>
      </c>
      <c r="O176" s="42">
        <f t="shared" si="12"/>
        <v>1192.0684931506851</v>
      </c>
    </row>
    <row r="177" spans="2:17" ht="19.5" thickBot="1" x14ac:dyDescent="0.35">
      <c r="B177" s="3" t="s">
        <v>167</v>
      </c>
      <c r="C177" s="1" t="s">
        <v>158</v>
      </c>
      <c r="D177" s="12">
        <f>3.87*6</f>
        <v>23.22</v>
      </c>
      <c r="E177" s="46">
        <v>3.87</v>
      </c>
      <c r="F177" s="103">
        <f t="shared" si="14"/>
        <v>5.3013698630136989</v>
      </c>
      <c r="G177" s="74">
        <f t="shared" si="10"/>
        <v>5.16</v>
      </c>
      <c r="H177" s="37">
        <f t="shared" si="9"/>
        <v>27</v>
      </c>
      <c r="I177" s="1">
        <v>120</v>
      </c>
      <c r="J177" s="12"/>
      <c r="K177" s="15"/>
      <c r="L177" s="12">
        <f>13+1+1+1+1+3+30+2+2+1+12</f>
        <v>67</v>
      </c>
      <c r="M177" s="12">
        <f t="shared" si="13"/>
        <v>53</v>
      </c>
      <c r="N177">
        <f>M177/6</f>
        <v>8.8333333333333339</v>
      </c>
      <c r="O177" s="42">
        <f t="shared" si="12"/>
        <v>355.1917808219178</v>
      </c>
      <c r="Q177">
        <f>L171/12</f>
        <v>126.41666666666667</v>
      </c>
    </row>
    <row r="178" spans="2:17" ht="19.5" thickBot="1" x14ac:dyDescent="0.35">
      <c r="B178" s="3" t="s">
        <v>167</v>
      </c>
      <c r="C178" s="1" t="s">
        <v>159</v>
      </c>
      <c r="D178" s="12"/>
      <c r="E178" s="46">
        <v>4.95</v>
      </c>
      <c r="F178" s="103">
        <f t="shared" si="14"/>
        <v>6.7808219178082192</v>
      </c>
      <c r="G178" s="60">
        <f t="shared" si="10"/>
        <v>6.6000000000000005</v>
      </c>
      <c r="H178" s="37">
        <f t="shared" si="9"/>
        <v>26.999999999999996</v>
      </c>
      <c r="I178" s="1">
        <v>240</v>
      </c>
      <c r="J178" s="12"/>
      <c r="K178" s="15"/>
      <c r="L178" s="12">
        <v>1</v>
      </c>
      <c r="M178" s="12">
        <f t="shared" si="13"/>
        <v>239</v>
      </c>
      <c r="O178" s="42">
        <f t="shared" si="12"/>
        <v>6.7808219178082192</v>
      </c>
    </row>
    <row r="179" spans="2:17" ht="19.5" thickBot="1" x14ac:dyDescent="0.35">
      <c r="B179" s="3" t="s">
        <v>167</v>
      </c>
      <c r="C179" s="1" t="s">
        <v>160</v>
      </c>
      <c r="D179" s="12"/>
      <c r="E179" s="46">
        <v>4.95</v>
      </c>
      <c r="F179" s="103">
        <f t="shared" si="14"/>
        <v>6.7808219178082192</v>
      </c>
      <c r="G179" s="19">
        <f t="shared" ref="G179:G202" si="15">E179/(1-0.25)</f>
        <v>6.6000000000000005</v>
      </c>
      <c r="H179" s="37">
        <f t="shared" si="9"/>
        <v>26.999999999999996</v>
      </c>
      <c r="I179" s="1">
        <v>200</v>
      </c>
      <c r="J179" s="12"/>
      <c r="K179" s="15"/>
      <c r="L179" s="12">
        <v>9</v>
      </c>
      <c r="M179" s="12">
        <f t="shared" si="13"/>
        <v>191</v>
      </c>
      <c r="O179" s="42">
        <f t="shared" si="12"/>
        <v>61.027397260273972</v>
      </c>
    </row>
    <row r="180" spans="2:17" ht="19.5" thickBot="1" x14ac:dyDescent="0.35">
      <c r="B180" s="3" t="s">
        <v>167</v>
      </c>
      <c r="C180" s="25" t="s">
        <v>161</v>
      </c>
      <c r="D180" s="25"/>
      <c r="E180" s="25">
        <v>4.95</v>
      </c>
      <c r="F180" s="103">
        <f t="shared" si="14"/>
        <v>6.7808219178082192</v>
      </c>
      <c r="G180" s="25">
        <f t="shared" si="15"/>
        <v>6.6000000000000005</v>
      </c>
      <c r="H180" s="25">
        <f t="shared" si="9"/>
        <v>26.999999999999996</v>
      </c>
      <c r="I180" s="25">
        <f>240+144+24</f>
        <v>408</v>
      </c>
      <c r="J180" s="12"/>
      <c r="K180" s="15"/>
      <c r="L180" s="12">
        <f>21+24+1+12+12+180+2+2+2+5+3+1+1+1+1+2+2+1+2+2+1+1</f>
        <v>279</v>
      </c>
      <c r="M180" s="12">
        <f t="shared" si="13"/>
        <v>129</v>
      </c>
      <c r="O180" s="42">
        <f t="shared" si="12"/>
        <v>1891.8493150684931</v>
      </c>
      <c r="P180">
        <f>M180/12</f>
        <v>10.75</v>
      </c>
    </row>
    <row r="181" spans="2:17" ht="19.5" thickBot="1" x14ac:dyDescent="0.35">
      <c r="B181" s="3" t="s">
        <v>167</v>
      </c>
      <c r="C181" s="97" t="s">
        <v>162</v>
      </c>
      <c r="D181" s="12"/>
      <c r="E181" s="46">
        <v>3.62</v>
      </c>
      <c r="F181" s="103">
        <f t="shared" si="14"/>
        <v>4.9589041095890414</v>
      </c>
      <c r="G181" s="19">
        <f t="shared" si="15"/>
        <v>4.8266666666666671</v>
      </c>
      <c r="H181" s="37">
        <f t="shared" si="9"/>
        <v>27</v>
      </c>
      <c r="I181" s="1">
        <v>300</v>
      </c>
      <c r="J181" s="12"/>
      <c r="K181" s="15"/>
      <c r="L181" s="12">
        <f>60+6+6+3</f>
        <v>75</v>
      </c>
      <c r="M181" s="12">
        <f t="shared" si="13"/>
        <v>225</v>
      </c>
      <c r="O181" s="42">
        <f t="shared" si="12"/>
        <v>371.91780821917808</v>
      </c>
    </row>
    <row r="182" spans="2:17" ht="19.5" thickBot="1" x14ac:dyDescent="0.35">
      <c r="B182" s="3" t="s">
        <v>167</v>
      </c>
      <c r="C182" s="14" t="s">
        <v>276</v>
      </c>
      <c r="D182" s="22"/>
      <c r="E182" s="50">
        <v>20.5</v>
      </c>
      <c r="F182" s="103">
        <f t="shared" si="14"/>
        <v>28.082191780821919</v>
      </c>
      <c r="G182" s="60">
        <f t="shared" si="15"/>
        <v>27.333333333333332</v>
      </c>
      <c r="H182" s="37">
        <f t="shared" si="9"/>
        <v>27</v>
      </c>
      <c r="I182" s="14">
        <v>8</v>
      </c>
      <c r="J182" s="22"/>
      <c r="K182" s="23"/>
      <c r="L182" s="22">
        <v>6</v>
      </c>
      <c r="M182" s="12">
        <f t="shared" si="13"/>
        <v>2</v>
      </c>
      <c r="O182" s="42"/>
    </row>
    <row r="183" spans="2:17" ht="19.5" thickBot="1" x14ac:dyDescent="0.35">
      <c r="B183" s="3"/>
      <c r="C183" s="14" t="s">
        <v>291</v>
      </c>
      <c r="D183" s="22"/>
      <c r="E183" s="50">
        <f>E182/6</f>
        <v>3.4166666666666665</v>
      </c>
      <c r="F183" s="103">
        <f t="shared" si="14"/>
        <v>4.6803652968036529</v>
      </c>
      <c r="G183" s="60"/>
      <c r="H183" s="37">
        <f t="shared" si="9"/>
        <v>27</v>
      </c>
      <c r="I183" s="14"/>
      <c r="J183" s="22"/>
      <c r="K183" s="23"/>
      <c r="L183" s="22">
        <v>11</v>
      </c>
      <c r="M183" s="12"/>
      <c r="O183" s="42"/>
    </row>
    <row r="184" spans="2:17" ht="19.5" thickBot="1" x14ac:dyDescent="0.35">
      <c r="B184" s="3" t="s">
        <v>167</v>
      </c>
      <c r="C184" s="14" t="s">
        <v>277</v>
      </c>
      <c r="D184" s="22"/>
      <c r="E184" s="50">
        <v>14.3</v>
      </c>
      <c r="F184" s="103">
        <f t="shared" si="14"/>
        <v>19.589041095890412</v>
      </c>
      <c r="G184" s="60">
        <f t="shared" si="15"/>
        <v>19.066666666666666</v>
      </c>
      <c r="H184" s="37">
        <f t="shared" si="9"/>
        <v>27</v>
      </c>
      <c r="I184" s="14">
        <v>6</v>
      </c>
      <c r="J184" s="22"/>
      <c r="K184" s="23"/>
      <c r="L184" s="22"/>
      <c r="M184" s="12">
        <f t="shared" si="13"/>
        <v>6</v>
      </c>
      <c r="N184">
        <f>L180/12</f>
        <v>23.25</v>
      </c>
      <c r="O184" s="42"/>
    </row>
    <row r="185" spans="2:17" ht="19.5" thickBot="1" x14ac:dyDescent="0.35">
      <c r="B185" s="3" t="s">
        <v>167</v>
      </c>
      <c r="C185" s="14" t="s">
        <v>278</v>
      </c>
      <c r="D185" s="22"/>
      <c r="E185" s="50">
        <v>26</v>
      </c>
      <c r="F185" s="103">
        <f t="shared" si="14"/>
        <v>35.616438356164387</v>
      </c>
      <c r="G185" s="60">
        <f t="shared" si="15"/>
        <v>34.666666666666664</v>
      </c>
      <c r="H185" s="37">
        <f t="shared" si="9"/>
        <v>27.000000000000007</v>
      </c>
      <c r="I185" s="14">
        <v>10</v>
      </c>
      <c r="J185" s="22"/>
      <c r="K185" s="23"/>
      <c r="L185" s="22"/>
      <c r="M185" s="12">
        <f t="shared" si="13"/>
        <v>10</v>
      </c>
      <c r="O185" s="42">
        <f>25*12</f>
        <v>300</v>
      </c>
    </row>
    <row r="186" spans="2:17" ht="19.5" thickBot="1" x14ac:dyDescent="0.35">
      <c r="B186" s="3" t="s">
        <v>167</v>
      </c>
      <c r="C186" s="14" t="s">
        <v>279</v>
      </c>
      <c r="D186" s="22"/>
      <c r="E186" s="50">
        <v>18.260000000000002</v>
      </c>
      <c r="F186" s="103">
        <f t="shared" si="14"/>
        <v>25.013698630136989</v>
      </c>
      <c r="G186" s="60">
        <f t="shared" si="15"/>
        <v>24.346666666666668</v>
      </c>
      <c r="H186" s="37">
        <f t="shared" si="9"/>
        <v>27</v>
      </c>
      <c r="I186" s="14">
        <v>10</v>
      </c>
      <c r="J186" s="22"/>
      <c r="K186" s="23"/>
      <c r="L186" s="22">
        <v>2</v>
      </c>
      <c r="M186" s="12">
        <f t="shared" si="13"/>
        <v>8</v>
      </c>
      <c r="O186" s="42"/>
    </row>
    <row r="187" spans="2:17" ht="19.5" thickBot="1" x14ac:dyDescent="0.35">
      <c r="B187" s="3" t="s">
        <v>167</v>
      </c>
      <c r="C187" s="14" t="s">
        <v>281</v>
      </c>
      <c r="D187" s="22"/>
      <c r="E187" s="50">
        <v>20.51</v>
      </c>
      <c r="F187" s="103">
        <f t="shared" si="14"/>
        <v>28.095890410958908</v>
      </c>
      <c r="G187" s="60">
        <f t="shared" si="15"/>
        <v>27.346666666666668</v>
      </c>
      <c r="H187" s="37">
        <f t="shared" si="9"/>
        <v>27.000000000000007</v>
      </c>
      <c r="I187" s="14">
        <v>10</v>
      </c>
      <c r="J187" s="22"/>
      <c r="K187" s="23"/>
      <c r="L187" s="22">
        <v>2</v>
      </c>
      <c r="M187" s="12">
        <f t="shared" si="13"/>
        <v>8</v>
      </c>
      <c r="O187" s="42">
        <f>20*12</f>
        <v>240</v>
      </c>
    </row>
    <row r="188" spans="2:17" ht="19.5" thickBot="1" x14ac:dyDescent="0.35">
      <c r="B188" s="3" t="s">
        <v>167</v>
      </c>
      <c r="C188" s="14" t="s">
        <v>280</v>
      </c>
      <c r="D188" s="22"/>
      <c r="E188" s="50">
        <v>20.51</v>
      </c>
      <c r="F188" s="103">
        <f t="shared" si="14"/>
        <v>28.095890410958908</v>
      </c>
      <c r="G188" s="60">
        <f t="shared" si="15"/>
        <v>27.346666666666668</v>
      </c>
      <c r="H188" s="37">
        <f t="shared" si="9"/>
        <v>27.000000000000007</v>
      </c>
      <c r="I188" s="14">
        <v>6</v>
      </c>
      <c r="J188" s="22"/>
      <c r="K188" s="23"/>
      <c r="L188" s="22"/>
      <c r="M188" s="12">
        <f t="shared" si="13"/>
        <v>6</v>
      </c>
      <c r="O188" s="42"/>
    </row>
    <row r="189" spans="2:17" ht="19.5" thickBot="1" x14ac:dyDescent="0.35">
      <c r="B189" s="3" t="s">
        <v>268</v>
      </c>
      <c r="C189" s="14" t="s">
        <v>269</v>
      </c>
      <c r="D189" s="22"/>
      <c r="E189" s="50">
        <f t="shared" ref="E189:E194" si="16">54/6</f>
        <v>9</v>
      </c>
      <c r="F189" s="103">
        <f t="shared" si="14"/>
        <v>12.328767123287671</v>
      </c>
      <c r="G189" s="60"/>
      <c r="H189" s="37">
        <f t="shared" si="9"/>
        <v>26.999999999999996</v>
      </c>
      <c r="I189" s="14">
        <v>6</v>
      </c>
      <c r="J189" s="22"/>
      <c r="K189" s="23"/>
      <c r="L189" s="22">
        <v>2</v>
      </c>
      <c r="M189" s="12">
        <f t="shared" si="13"/>
        <v>4</v>
      </c>
      <c r="O189" s="42"/>
    </row>
    <row r="190" spans="2:17" ht="19.5" thickBot="1" x14ac:dyDescent="0.35">
      <c r="B190" s="3" t="s">
        <v>268</v>
      </c>
      <c r="C190" s="14" t="s">
        <v>270</v>
      </c>
      <c r="D190" s="22"/>
      <c r="E190" s="50">
        <f t="shared" si="16"/>
        <v>9</v>
      </c>
      <c r="F190" s="103">
        <f t="shared" si="14"/>
        <v>12.328767123287671</v>
      </c>
      <c r="G190" s="60"/>
      <c r="H190" s="37">
        <f t="shared" si="9"/>
        <v>26.999999999999996</v>
      </c>
      <c r="I190" s="14">
        <v>6</v>
      </c>
      <c r="J190" s="22"/>
      <c r="K190" s="23"/>
      <c r="L190" s="22">
        <v>2</v>
      </c>
      <c r="M190" s="12">
        <f t="shared" si="13"/>
        <v>4</v>
      </c>
      <c r="O190" s="42"/>
    </row>
    <row r="191" spans="2:17" ht="19.5" thickBot="1" x14ac:dyDescent="0.35">
      <c r="B191" s="3" t="s">
        <v>268</v>
      </c>
      <c r="C191" s="14" t="s">
        <v>271</v>
      </c>
      <c r="D191" s="22"/>
      <c r="E191" s="50">
        <f t="shared" si="16"/>
        <v>9</v>
      </c>
      <c r="F191" s="103">
        <f t="shared" si="14"/>
        <v>12.328767123287671</v>
      </c>
      <c r="G191" s="60"/>
      <c r="H191" s="37">
        <f t="shared" si="9"/>
        <v>26.999999999999996</v>
      </c>
      <c r="I191" s="14">
        <v>6</v>
      </c>
      <c r="J191" s="22"/>
      <c r="K191" s="23"/>
      <c r="L191" s="22"/>
      <c r="M191" s="12">
        <f t="shared" si="13"/>
        <v>6</v>
      </c>
      <c r="O191" s="42"/>
    </row>
    <row r="192" spans="2:17" ht="19.5" thickBot="1" x14ac:dyDescent="0.35">
      <c r="B192" s="3" t="s">
        <v>268</v>
      </c>
      <c r="C192" s="14" t="s">
        <v>272</v>
      </c>
      <c r="D192" s="22"/>
      <c r="E192" s="50">
        <f t="shared" si="16"/>
        <v>9</v>
      </c>
      <c r="F192" s="103">
        <f t="shared" si="14"/>
        <v>12.328767123287671</v>
      </c>
      <c r="G192" s="60"/>
      <c r="H192" s="37">
        <f t="shared" si="9"/>
        <v>26.999999999999996</v>
      </c>
      <c r="I192" s="14">
        <v>6</v>
      </c>
      <c r="J192" s="22"/>
      <c r="K192" s="23"/>
      <c r="L192" s="22"/>
      <c r="M192" s="12">
        <f t="shared" si="13"/>
        <v>6</v>
      </c>
      <c r="O192" s="42"/>
    </row>
    <row r="193" spans="1:16" ht="19.5" thickBot="1" x14ac:dyDescent="0.35">
      <c r="B193" s="3" t="s">
        <v>268</v>
      </c>
      <c r="C193" s="14" t="s">
        <v>273</v>
      </c>
      <c r="D193" s="22"/>
      <c r="E193" s="50">
        <f t="shared" si="16"/>
        <v>9</v>
      </c>
      <c r="F193" s="103">
        <f t="shared" si="14"/>
        <v>12.328767123287671</v>
      </c>
      <c r="G193" s="60"/>
      <c r="H193" s="37">
        <f t="shared" si="9"/>
        <v>26.999999999999996</v>
      </c>
      <c r="I193" s="14">
        <v>6</v>
      </c>
      <c r="J193" s="22"/>
      <c r="K193" s="23"/>
      <c r="L193" s="22">
        <v>3</v>
      </c>
      <c r="M193" s="12">
        <f t="shared" si="13"/>
        <v>3</v>
      </c>
      <c r="O193" s="42"/>
    </row>
    <row r="194" spans="1:16" ht="19.5" thickBot="1" x14ac:dyDescent="0.35">
      <c r="B194" s="3" t="s">
        <v>268</v>
      </c>
      <c r="C194" s="14" t="s">
        <v>274</v>
      </c>
      <c r="D194" s="22"/>
      <c r="E194" s="50">
        <f t="shared" si="16"/>
        <v>9</v>
      </c>
      <c r="F194" s="103">
        <f t="shared" si="14"/>
        <v>12.328767123287671</v>
      </c>
      <c r="G194" s="60"/>
      <c r="H194" s="37">
        <f t="shared" si="9"/>
        <v>26.999999999999996</v>
      </c>
      <c r="I194" s="14">
        <v>12</v>
      </c>
      <c r="J194" s="22"/>
      <c r="K194" s="23"/>
      <c r="L194" s="22">
        <v>9</v>
      </c>
      <c r="M194" s="12">
        <f t="shared" si="13"/>
        <v>3</v>
      </c>
      <c r="O194" s="42"/>
    </row>
    <row r="195" spans="1:16" ht="19.5" thickBot="1" x14ac:dyDescent="0.35">
      <c r="B195" s="3" t="s">
        <v>167</v>
      </c>
      <c r="C195" s="96" t="s">
        <v>180</v>
      </c>
      <c r="D195" s="22"/>
      <c r="E195" s="50">
        <v>3.75</v>
      </c>
      <c r="F195" s="103">
        <f t="shared" si="14"/>
        <v>5.1369863013698636</v>
      </c>
      <c r="G195" s="60">
        <f t="shared" si="15"/>
        <v>5</v>
      </c>
      <c r="H195" s="37">
        <f t="shared" si="9"/>
        <v>27.000000000000007</v>
      </c>
      <c r="I195" s="14">
        <v>1200</v>
      </c>
      <c r="J195" s="22"/>
      <c r="K195" s="23"/>
      <c r="L195" s="22">
        <f>11+3+6+1+6+6+12+6+6+1+6+12+1+1+6+12+6+6+6+1</f>
        <v>115</v>
      </c>
      <c r="M195" s="22">
        <f t="shared" si="13"/>
        <v>1085</v>
      </c>
      <c r="O195" s="42">
        <f t="shared" si="12"/>
        <v>590.75342465753431</v>
      </c>
    </row>
    <row r="196" spans="1:16" ht="19.5" thickBot="1" x14ac:dyDescent="0.35">
      <c r="B196" s="14" t="s">
        <v>167</v>
      </c>
      <c r="C196" s="14" t="s">
        <v>165</v>
      </c>
      <c r="D196" s="22"/>
      <c r="E196" s="50">
        <v>3.41</v>
      </c>
      <c r="F196" s="103">
        <f t="shared" si="14"/>
        <v>4.6712328767123292</v>
      </c>
      <c r="G196" s="60">
        <f t="shared" si="15"/>
        <v>4.5466666666666669</v>
      </c>
      <c r="H196" s="33">
        <f t="shared" si="9"/>
        <v>27</v>
      </c>
      <c r="I196" s="14">
        <v>300</v>
      </c>
      <c r="J196" s="22"/>
      <c r="K196" s="23"/>
      <c r="L196" s="22">
        <f>8+6+6+6+1+6+2</f>
        <v>35</v>
      </c>
      <c r="M196" s="22">
        <f t="shared" si="13"/>
        <v>265</v>
      </c>
      <c r="O196" s="42">
        <f t="shared" si="12"/>
        <v>163.49315068493152</v>
      </c>
    </row>
    <row r="197" spans="1:16" x14ac:dyDescent="0.3">
      <c r="B197" s="89" t="s">
        <v>254</v>
      </c>
      <c r="C197" s="90" t="s">
        <v>255</v>
      </c>
      <c r="D197" s="91"/>
      <c r="E197" s="92">
        <v>5</v>
      </c>
      <c r="F197" s="103">
        <f t="shared" ref="F197:F211" si="17">E197/(1-0.27)</f>
        <v>6.8493150684931505</v>
      </c>
      <c r="G197" s="91">
        <f t="shared" si="15"/>
        <v>6.666666666666667</v>
      </c>
      <c r="H197" s="28">
        <f t="shared" si="9"/>
        <v>26.999999999999996</v>
      </c>
      <c r="I197" s="91">
        <v>4</v>
      </c>
      <c r="J197" s="91"/>
      <c r="K197" s="91"/>
      <c r="L197" s="91">
        <v>7</v>
      </c>
      <c r="M197" s="22">
        <f t="shared" si="13"/>
        <v>-3</v>
      </c>
      <c r="O197" s="42">
        <f t="shared" si="12"/>
        <v>47.945205479452056</v>
      </c>
    </row>
    <row r="198" spans="1:16" x14ac:dyDescent="0.3">
      <c r="B198" s="93" t="s">
        <v>254</v>
      </c>
      <c r="C198" s="1" t="s">
        <v>256</v>
      </c>
      <c r="D198" s="12"/>
      <c r="E198" s="46">
        <v>2.1</v>
      </c>
      <c r="F198" s="103">
        <f t="shared" si="17"/>
        <v>2.8767123287671237</v>
      </c>
      <c r="G198" s="12">
        <f t="shared" si="15"/>
        <v>2.8000000000000003</v>
      </c>
      <c r="H198" s="26">
        <f t="shared" ref="H198:H227" si="18">(F198-E198)/F198*(100)</f>
        <v>27.000000000000007</v>
      </c>
      <c r="I198" s="12">
        <v>6</v>
      </c>
      <c r="J198" s="12"/>
      <c r="K198" s="12"/>
      <c r="L198" s="12">
        <v>7</v>
      </c>
      <c r="M198" s="22">
        <f t="shared" si="13"/>
        <v>-1</v>
      </c>
      <c r="O198" s="42">
        <f t="shared" ref="O198:O225" si="19">L198*F198</f>
        <v>20.136986301369866</v>
      </c>
    </row>
    <row r="199" spans="1:16" x14ac:dyDescent="0.3">
      <c r="B199" s="93" t="s">
        <v>254</v>
      </c>
      <c r="C199" s="1" t="s">
        <v>257</v>
      </c>
      <c r="D199" s="12"/>
      <c r="E199" s="46">
        <v>2.1</v>
      </c>
      <c r="F199" s="103">
        <f t="shared" si="17"/>
        <v>2.8767123287671237</v>
      </c>
      <c r="G199" s="12">
        <f t="shared" si="15"/>
        <v>2.8000000000000003</v>
      </c>
      <c r="H199" s="26">
        <f t="shared" si="18"/>
        <v>27.000000000000007</v>
      </c>
      <c r="I199" s="12">
        <v>3</v>
      </c>
      <c r="J199" s="12"/>
      <c r="K199" s="12"/>
      <c r="L199" s="12">
        <v>8</v>
      </c>
      <c r="M199" s="22">
        <f t="shared" si="13"/>
        <v>-5</v>
      </c>
      <c r="O199" s="42">
        <f t="shared" si="19"/>
        <v>23.013698630136989</v>
      </c>
    </row>
    <row r="200" spans="1:16" x14ac:dyDescent="0.3">
      <c r="B200" s="93" t="s">
        <v>254</v>
      </c>
      <c r="C200" s="1" t="s">
        <v>258</v>
      </c>
      <c r="D200" s="12"/>
      <c r="E200" s="46">
        <v>7</v>
      </c>
      <c r="F200" s="103">
        <f t="shared" si="17"/>
        <v>9.589041095890412</v>
      </c>
      <c r="G200" s="12">
        <f t="shared" si="15"/>
        <v>9.3333333333333339</v>
      </c>
      <c r="H200" s="26">
        <f t="shared" si="18"/>
        <v>27.000000000000007</v>
      </c>
      <c r="I200" s="12">
        <v>3</v>
      </c>
      <c r="J200" s="12"/>
      <c r="K200" s="12"/>
      <c r="L200" s="12">
        <v>3</v>
      </c>
      <c r="M200" s="22">
        <f t="shared" si="13"/>
        <v>0</v>
      </c>
      <c r="O200" s="42">
        <f t="shared" si="19"/>
        <v>28.767123287671236</v>
      </c>
    </row>
    <row r="201" spans="1:16" x14ac:dyDescent="0.3">
      <c r="B201" s="93" t="s">
        <v>254</v>
      </c>
      <c r="C201" s="1" t="s">
        <v>259</v>
      </c>
      <c r="D201" s="12"/>
      <c r="E201" s="46">
        <v>2.5</v>
      </c>
      <c r="F201" s="103">
        <f t="shared" si="17"/>
        <v>3.4246575342465753</v>
      </c>
      <c r="G201" s="12">
        <f t="shared" si="15"/>
        <v>3.3333333333333335</v>
      </c>
      <c r="H201" s="26">
        <f t="shared" si="18"/>
        <v>26.999999999999996</v>
      </c>
      <c r="I201" s="12">
        <v>4</v>
      </c>
      <c r="J201" s="12"/>
      <c r="K201" s="12"/>
      <c r="L201" s="12">
        <v>9</v>
      </c>
      <c r="M201" s="22">
        <f t="shared" si="13"/>
        <v>-5</v>
      </c>
      <c r="O201" s="42">
        <f t="shared" si="19"/>
        <v>30.821917808219176</v>
      </c>
    </row>
    <row r="202" spans="1:16" s="34" customFormat="1" x14ac:dyDescent="0.3">
      <c r="B202" s="93" t="s">
        <v>254</v>
      </c>
      <c r="C202" s="1" t="s">
        <v>284</v>
      </c>
      <c r="D202" s="88"/>
      <c r="E202" s="46">
        <v>7</v>
      </c>
      <c r="F202" s="103">
        <f t="shared" si="17"/>
        <v>9.589041095890412</v>
      </c>
      <c r="G202" s="88">
        <f t="shared" si="15"/>
        <v>9.3333333333333339</v>
      </c>
      <c r="H202" s="26">
        <f t="shared" si="18"/>
        <v>27.000000000000007</v>
      </c>
      <c r="I202" s="88">
        <v>5</v>
      </c>
      <c r="J202" s="88"/>
      <c r="K202" s="88"/>
      <c r="L202" s="88">
        <v>1</v>
      </c>
      <c r="M202" s="22">
        <f t="shared" si="13"/>
        <v>4</v>
      </c>
      <c r="O202" s="42">
        <f t="shared" si="19"/>
        <v>9.589041095890412</v>
      </c>
    </row>
    <row r="203" spans="1:16" s="34" customFormat="1" x14ac:dyDescent="0.3">
      <c r="A203" s="34">
        <f>100-13</f>
        <v>87</v>
      </c>
      <c r="B203" s="93" t="s">
        <v>254</v>
      </c>
      <c r="C203" s="1" t="s">
        <v>260</v>
      </c>
      <c r="D203" s="88"/>
      <c r="E203" s="46">
        <v>2.1</v>
      </c>
      <c r="F203" s="103">
        <f t="shared" si="17"/>
        <v>2.8767123287671237</v>
      </c>
      <c r="G203" s="88"/>
      <c r="H203" s="26">
        <f t="shared" si="18"/>
        <v>27.000000000000007</v>
      </c>
      <c r="I203" s="88">
        <v>9</v>
      </c>
      <c r="J203" s="88"/>
      <c r="K203" s="88"/>
      <c r="L203" s="88">
        <v>13</v>
      </c>
      <c r="M203" s="22">
        <f t="shared" si="13"/>
        <v>-4</v>
      </c>
      <c r="O203" s="42">
        <f t="shared" si="19"/>
        <v>37.397260273972606</v>
      </c>
    </row>
    <row r="204" spans="1:16" s="34" customFormat="1" x14ac:dyDescent="0.3">
      <c r="B204" s="93" t="s">
        <v>254</v>
      </c>
      <c r="C204" s="1" t="s">
        <v>261</v>
      </c>
      <c r="D204" s="88"/>
      <c r="E204" s="46">
        <v>0.84</v>
      </c>
      <c r="F204" s="103">
        <f t="shared" si="17"/>
        <v>1.1506849315068493</v>
      </c>
      <c r="G204" s="88"/>
      <c r="H204" s="26">
        <f t="shared" si="18"/>
        <v>26.999999999999996</v>
      </c>
      <c r="I204" s="88">
        <v>9</v>
      </c>
      <c r="J204" s="88"/>
      <c r="K204" s="88"/>
      <c r="L204" s="88">
        <v>10</v>
      </c>
      <c r="M204" s="22">
        <f t="shared" si="13"/>
        <v>-1</v>
      </c>
      <c r="O204" s="42">
        <f t="shared" si="19"/>
        <v>11.506849315068493</v>
      </c>
    </row>
    <row r="205" spans="1:16" s="34" customFormat="1" x14ac:dyDescent="0.3">
      <c r="B205" s="93" t="s">
        <v>254</v>
      </c>
      <c r="C205" s="1" t="s">
        <v>262</v>
      </c>
      <c r="D205" s="88"/>
      <c r="E205" s="46">
        <v>7</v>
      </c>
      <c r="F205" s="103">
        <f t="shared" si="17"/>
        <v>9.589041095890412</v>
      </c>
      <c r="G205" s="88"/>
      <c r="H205" s="26">
        <f t="shared" si="18"/>
        <v>27.000000000000007</v>
      </c>
      <c r="I205" s="88">
        <v>7</v>
      </c>
      <c r="J205" s="88"/>
      <c r="K205" s="88"/>
      <c r="L205" s="88">
        <v>5</v>
      </c>
      <c r="M205" s="22">
        <f t="shared" si="13"/>
        <v>2</v>
      </c>
      <c r="O205" s="42">
        <f t="shared" si="19"/>
        <v>47.945205479452056</v>
      </c>
    </row>
    <row r="206" spans="1:16" s="35" customFormat="1" x14ac:dyDescent="0.3">
      <c r="B206" s="93" t="s">
        <v>254</v>
      </c>
      <c r="C206" s="1" t="s">
        <v>263</v>
      </c>
      <c r="D206" s="24"/>
      <c r="E206" s="46">
        <v>2.6</v>
      </c>
      <c r="F206" s="103">
        <f t="shared" si="17"/>
        <v>3.5616438356164384</v>
      </c>
      <c r="G206" s="24"/>
      <c r="H206" s="26">
        <f t="shared" si="18"/>
        <v>26.999999999999996</v>
      </c>
      <c r="I206" s="24">
        <v>4</v>
      </c>
      <c r="J206" s="24"/>
      <c r="K206" s="24"/>
      <c r="L206" s="24">
        <v>9</v>
      </c>
      <c r="M206" s="22">
        <f t="shared" si="13"/>
        <v>-5</v>
      </c>
      <c r="O206" s="42">
        <f t="shared" si="19"/>
        <v>32.054794520547944</v>
      </c>
    </row>
    <row r="207" spans="1:16" s="35" customFormat="1" x14ac:dyDescent="0.3">
      <c r="B207" s="93" t="s">
        <v>254</v>
      </c>
      <c r="C207" s="1" t="s">
        <v>264</v>
      </c>
      <c r="D207" s="24"/>
      <c r="E207" s="46">
        <v>4.5</v>
      </c>
      <c r="F207" s="103">
        <f t="shared" si="17"/>
        <v>6.1643835616438354</v>
      </c>
      <c r="G207" s="24"/>
      <c r="H207" s="26">
        <f t="shared" si="18"/>
        <v>26.999999999999996</v>
      </c>
      <c r="I207" s="24">
        <v>8</v>
      </c>
      <c r="J207" s="24"/>
      <c r="K207" s="24"/>
      <c r="L207" s="24">
        <v>3</v>
      </c>
      <c r="M207" s="22">
        <f t="shared" si="13"/>
        <v>5</v>
      </c>
      <c r="O207" s="42">
        <f t="shared" si="19"/>
        <v>18.493150684931507</v>
      </c>
      <c r="P207" s="35">
        <f>77+28</f>
        <v>105</v>
      </c>
    </row>
    <row r="208" spans="1:16" s="35" customFormat="1" x14ac:dyDescent="0.3">
      <c r="B208" s="93" t="s">
        <v>254</v>
      </c>
      <c r="C208" s="1" t="s">
        <v>265</v>
      </c>
      <c r="D208" s="24"/>
      <c r="E208" s="46">
        <v>0.84</v>
      </c>
      <c r="F208" s="103">
        <f t="shared" si="17"/>
        <v>1.1506849315068493</v>
      </c>
      <c r="G208" s="24"/>
      <c r="H208" s="26">
        <f t="shared" si="18"/>
        <v>26.999999999999996</v>
      </c>
      <c r="I208" s="24">
        <v>6</v>
      </c>
      <c r="J208" s="24"/>
      <c r="K208" s="24"/>
      <c r="L208" s="24">
        <v>12</v>
      </c>
      <c r="M208" s="22">
        <f t="shared" si="13"/>
        <v>-6</v>
      </c>
      <c r="O208" s="42">
        <f t="shared" si="19"/>
        <v>13.80821917808219</v>
      </c>
    </row>
    <row r="209" spans="2:18" s="35" customFormat="1" x14ac:dyDescent="0.3">
      <c r="B209" s="93" t="s">
        <v>254</v>
      </c>
      <c r="C209" s="1" t="s">
        <v>266</v>
      </c>
      <c r="D209" s="24"/>
      <c r="E209" s="46">
        <v>1</v>
      </c>
      <c r="F209" s="103">
        <f t="shared" si="17"/>
        <v>1.3698630136986301</v>
      </c>
      <c r="G209" s="24"/>
      <c r="H209" s="26">
        <f t="shared" si="18"/>
        <v>26.999999999999996</v>
      </c>
      <c r="I209" s="24">
        <v>12</v>
      </c>
      <c r="J209" s="24"/>
      <c r="K209" s="24"/>
      <c r="L209" s="24">
        <v>18</v>
      </c>
      <c r="M209" s="22">
        <f t="shared" si="13"/>
        <v>-6</v>
      </c>
      <c r="O209" s="42">
        <f t="shared" si="19"/>
        <v>24.657534246575342</v>
      </c>
      <c r="R209" s="35">
        <f>R207*100</f>
        <v>0</v>
      </c>
    </row>
    <row r="210" spans="2:18" s="35" customFormat="1" ht="19.5" thickBot="1" x14ac:dyDescent="0.35">
      <c r="B210" s="93" t="s">
        <v>254</v>
      </c>
      <c r="C210" s="1" t="s">
        <v>275</v>
      </c>
      <c r="D210" s="30"/>
      <c r="E210" s="46">
        <v>3.55</v>
      </c>
      <c r="F210" s="103">
        <f t="shared" si="17"/>
        <v>4.8630136986301364</v>
      </c>
      <c r="G210" s="30"/>
      <c r="H210" s="31">
        <f t="shared" si="18"/>
        <v>26.999999999999996</v>
      </c>
      <c r="I210" s="30">
        <v>36</v>
      </c>
      <c r="J210" s="30"/>
      <c r="K210" s="30"/>
      <c r="L210" s="30">
        <v>16</v>
      </c>
      <c r="M210" s="22">
        <f t="shared" si="13"/>
        <v>20</v>
      </c>
      <c r="O210" s="42">
        <f t="shared" si="19"/>
        <v>77.808219178082183</v>
      </c>
    </row>
    <row r="211" spans="2:18" s="35" customFormat="1" ht="19.5" thickBot="1" x14ac:dyDescent="0.35">
      <c r="B211" s="93" t="s">
        <v>254</v>
      </c>
      <c r="C211" s="1" t="s">
        <v>286</v>
      </c>
      <c r="D211" s="30"/>
      <c r="E211" s="46">
        <v>8.0399999999999991</v>
      </c>
      <c r="F211" s="103">
        <f t="shared" si="17"/>
        <v>11.013698630136986</v>
      </c>
      <c r="H211" s="37">
        <f t="shared" si="18"/>
        <v>27.000000000000007</v>
      </c>
      <c r="I211" s="35">
        <v>6</v>
      </c>
      <c r="L211" s="35">
        <v>7</v>
      </c>
      <c r="M211" s="35">
        <f t="shared" si="13"/>
        <v>-1</v>
      </c>
      <c r="N211" s="35">
        <v>20</v>
      </c>
      <c r="O211" s="42">
        <f t="shared" si="19"/>
        <v>77.095890410958901</v>
      </c>
      <c r="P211" s="35">
        <f>123-20</f>
        <v>103</v>
      </c>
    </row>
    <row r="212" spans="2:18" s="35" customFormat="1" x14ac:dyDescent="0.25">
      <c r="F212" s="64">
        <v>4.5</v>
      </c>
      <c r="H212" s="37">
        <f t="shared" si="18"/>
        <v>100</v>
      </c>
      <c r="O212" s="42">
        <f t="shared" si="19"/>
        <v>0</v>
      </c>
      <c r="P212" s="35">
        <f>117-109</f>
        <v>8</v>
      </c>
    </row>
    <row r="213" spans="2:18" s="35" customFormat="1" x14ac:dyDescent="0.25">
      <c r="F213" s="64">
        <v>4.5</v>
      </c>
      <c r="H213" s="37">
        <f t="shared" si="18"/>
        <v>100</v>
      </c>
      <c r="O213" s="42">
        <f t="shared" si="19"/>
        <v>0</v>
      </c>
    </row>
    <row r="214" spans="2:18" s="35" customFormat="1" x14ac:dyDescent="0.25">
      <c r="F214" s="64">
        <v>4.5</v>
      </c>
      <c r="H214" s="37">
        <f t="shared" si="18"/>
        <v>100</v>
      </c>
      <c r="O214" s="42">
        <f t="shared" si="19"/>
        <v>0</v>
      </c>
    </row>
    <row r="215" spans="2:18" s="35" customFormat="1" x14ac:dyDescent="0.25">
      <c r="F215" s="64">
        <v>4.5</v>
      </c>
      <c r="H215" s="37">
        <f t="shared" si="18"/>
        <v>100</v>
      </c>
      <c r="O215" s="42">
        <f t="shared" si="19"/>
        <v>0</v>
      </c>
    </row>
    <row r="216" spans="2:18" s="35" customFormat="1" x14ac:dyDescent="0.25">
      <c r="F216" s="64">
        <v>4.5</v>
      </c>
      <c r="H216" s="37">
        <f t="shared" si="18"/>
        <v>100</v>
      </c>
      <c r="O216" s="42">
        <f t="shared" si="19"/>
        <v>0</v>
      </c>
    </row>
    <row r="217" spans="2:18" s="35" customFormat="1" x14ac:dyDescent="0.25">
      <c r="F217" s="64">
        <v>4.5</v>
      </c>
      <c r="H217" s="37">
        <f t="shared" si="18"/>
        <v>100</v>
      </c>
      <c r="O217" s="42">
        <f t="shared" si="19"/>
        <v>0</v>
      </c>
    </row>
    <row r="218" spans="2:18" s="35" customFormat="1" x14ac:dyDescent="0.25">
      <c r="F218" s="64">
        <v>4.5</v>
      </c>
      <c r="H218" s="37">
        <f t="shared" si="18"/>
        <v>100</v>
      </c>
      <c r="O218" s="42">
        <f t="shared" si="19"/>
        <v>0</v>
      </c>
    </row>
    <row r="219" spans="2:18" s="35" customFormat="1" x14ac:dyDescent="0.25">
      <c r="F219" s="64">
        <v>4.5</v>
      </c>
      <c r="H219" s="37">
        <f t="shared" si="18"/>
        <v>100</v>
      </c>
      <c r="O219" s="42">
        <f t="shared" si="19"/>
        <v>0</v>
      </c>
    </row>
    <row r="220" spans="2:18" s="35" customFormat="1" x14ac:dyDescent="0.25">
      <c r="F220" s="64">
        <v>4.5</v>
      </c>
      <c r="H220" s="37">
        <f t="shared" si="18"/>
        <v>100</v>
      </c>
      <c r="O220" s="42">
        <f t="shared" si="19"/>
        <v>0</v>
      </c>
    </row>
    <row r="221" spans="2:18" s="35" customFormat="1" x14ac:dyDescent="0.25">
      <c r="F221" s="64">
        <v>4.5</v>
      </c>
      <c r="H221" s="37">
        <f t="shared" si="18"/>
        <v>100</v>
      </c>
      <c r="O221" s="42">
        <f t="shared" si="19"/>
        <v>0</v>
      </c>
    </row>
    <row r="222" spans="2:18" s="35" customFormat="1" x14ac:dyDescent="0.25">
      <c r="F222" s="64">
        <v>4.5</v>
      </c>
      <c r="H222" s="37">
        <f t="shared" si="18"/>
        <v>100</v>
      </c>
      <c r="O222" s="42">
        <f t="shared" si="19"/>
        <v>0</v>
      </c>
    </row>
    <row r="223" spans="2:18" x14ac:dyDescent="0.25">
      <c r="F223" s="64">
        <v>4.5</v>
      </c>
      <c r="H223" s="37">
        <f t="shared" si="18"/>
        <v>100</v>
      </c>
      <c r="O223" s="42">
        <f t="shared" si="19"/>
        <v>0</v>
      </c>
    </row>
    <row r="224" spans="2:18" x14ac:dyDescent="0.25">
      <c r="F224" s="64">
        <v>4.5</v>
      </c>
      <c r="H224" s="37">
        <f t="shared" si="18"/>
        <v>100</v>
      </c>
      <c r="O224" s="42">
        <f t="shared" si="19"/>
        <v>0</v>
      </c>
    </row>
    <row r="225" spans="2:15" x14ac:dyDescent="0.25">
      <c r="F225" s="64">
        <v>4.5</v>
      </c>
      <c r="H225" s="37">
        <f t="shared" si="18"/>
        <v>100</v>
      </c>
      <c r="O225" s="42">
        <f t="shared" si="19"/>
        <v>0</v>
      </c>
    </row>
    <row r="226" spans="2:15" x14ac:dyDescent="0.25">
      <c r="F226" s="64">
        <v>4.5</v>
      </c>
      <c r="H226" s="37">
        <f t="shared" si="18"/>
        <v>100</v>
      </c>
      <c r="O226" s="42"/>
    </row>
    <row r="227" spans="2:15" x14ac:dyDescent="0.25">
      <c r="F227" s="64">
        <v>4.5</v>
      </c>
      <c r="H227" s="37">
        <f t="shared" si="18"/>
        <v>100</v>
      </c>
      <c r="O227" s="42">
        <f>-4</f>
        <v>-4</v>
      </c>
    </row>
    <row r="228" spans="2:15" x14ac:dyDescent="0.25">
      <c r="E228" s="59">
        <v>8.4</v>
      </c>
      <c r="F228" s="64">
        <v>10</v>
      </c>
      <c r="H228" s="37">
        <f>(F228-E228)/F228*(100)</f>
        <v>15.999999999999998</v>
      </c>
      <c r="O228" s="42"/>
    </row>
    <row r="229" spans="2:15" x14ac:dyDescent="0.3">
      <c r="O229" s="42">
        <f>SUM(O4:O228)</f>
        <v>24151.753424657534</v>
      </c>
    </row>
    <row r="230" spans="2:15" x14ac:dyDescent="0.3">
      <c r="F230" s="70"/>
      <c r="G230" s="6"/>
      <c r="H230" s="6"/>
      <c r="K230" s="6"/>
    </row>
    <row r="231" spans="2:15" x14ac:dyDescent="0.3">
      <c r="B231">
        <f>8*20</f>
        <v>160</v>
      </c>
      <c r="C231">
        <f>0.8*20</f>
        <v>16</v>
      </c>
      <c r="F231" s="70"/>
      <c r="G231" s="6"/>
      <c r="H231" s="6"/>
      <c r="K231" s="6"/>
    </row>
    <row r="232" spans="2:15" x14ac:dyDescent="0.3">
      <c r="E232" s="59">
        <f>35.68/12</f>
        <v>2.9733333333333332</v>
      </c>
      <c r="F232" s="70">
        <f>E232*6</f>
        <v>17.84</v>
      </c>
      <c r="G232" s="6"/>
      <c r="H232" s="6"/>
      <c r="K232" s="6"/>
    </row>
    <row r="233" spans="2:15" x14ac:dyDescent="0.3">
      <c r="E233" s="59">
        <f>E232*12</f>
        <v>35.68</v>
      </c>
      <c r="F233" s="70"/>
      <c r="G233" s="6"/>
      <c r="H233" s="6"/>
      <c r="K233" s="6"/>
    </row>
    <row r="235" spans="2:15" x14ac:dyDescent="0.3">
      <c r="F235" s="70"/>
      <c r="G235" s="6"/>
      <c r="H235" s="6"/>
      <c r="K235" s="6"/>
    </row>
    <row r="236" spans="2:15" x14ac:dyDescent="0.3">
      <c r="F236" s="70"/>
      <c r="G236" s="6"/>
      <c r="H236" s="6"/>
      <c r="K236" s="6"/>
    </row>
    <row r="237" spans="2:15" x14ac:dyDescent="0.3">
      <c r="F237" s="70"/>
      <c r="G237" s="6"/>
      <c r="H237" s="6"/>
      <c r="K237" s="6"/>
    </row>
    <row r="238" spans="2:15" x14ac:dyDescent="0.3">
      <c r="D238">
        <f>36+7+5</f>
        <v>48</v>
      </c>
      <c r="F238" s="70"/>
      <c r="G238" s="6"/>
      <c r="H238" s="6"/>
      <c r="K238" s="6"/>
    </row>
    <row r="239" spans="2:15" x14ac:dyDescent="0.3">
      <c r="F239" s="70"/>
      <c r="G239" s="6"/>
      <c r="H239" s="6"/>
      <c r="K239" s="6"/>
    </row>
    <row r="240" spans="2:15" x14ac:dyDescent="0.3">
      <c r="F240" s="70"/>
      <c r="G240" s="6"/>
      <c r="H240" s="6"/>
      <c r="I240">
        <f>100-12</f>
        <v>88</v>
      </c>
      <c r="K240" s="6"/>
    </row>
    <row r="241" spans="6:11" x14ac:dyDescent="0.3">
      <c r="F241" s="70"/>
      <c r="G241" s="6"/>
      <c r="H241" s="6"/>
      <c r="K241" s="6"/>
    </row>
    <row r="242" spans="6:11" x14ac:dyDescent="0.3">
      <c r="F242" s="70"/>
      <c r="G242" s="6"/>
      <c r="H242" s="6"/>
      <c r="K242" s="6"/>
    </row>
    <row r="243" spans="6:11" x14ac:dyDescent="0.3">
      <c r="F243" s="70"/>
      <c r="G243" s="6"/>
      <c r="H243" s="6"/>
      <c r="K243" s="6"/>
    </row>
    <row r="244" spans="6:11" x14ac:dyDescent="0.3">
      <c r="F244" s="70"/>
      <c r="G244" s="6"/>
      <c r="H244" s="6"/>
      <c r="K244" s="6"/>
    </row>
    <row r="245" spans="6:11" x14ac:dyDescent="0.3">
      <c r="F245" s="70"/>
      <c r="G245" s="6"/>
      <c r="H245" s="6"/>
      <c r="K245" s="6"/>
    </row>
    <row r="246" spans="6:11" x14ac:dyDescent="0.3">
      <c r="F246" s="70"/>
      <c r="G246" s="6"/>
      <c r="H246" s="6"/>
      <c r="K246" s="6"/>
    </row>
    <row r="247" spans="6:11" x14ac:dyDescent="0.3">
      <c r="F247" s="70"/>
      <c r="G247" s="6"/>
      <c r="H247" s="6"/>
      <c r="K247" s="6"/>
    </row>
    <row r="248" spans="6:11" x14ac:dyDescent="0.3">
      <c r="F248" s="70"/>
      <c r="G248" s="6"/>
      <c r="H248" s="6"/>
      <c r="K248" s="6"/>
    </row>
    <row r="249" spans="6:11" x14ac:dyDescent="0.3">
      <c r="F249" s="70"/>
      <c r="G249" s="6"/>
      <c r="H249" s="6"/>
      <c r="K249" s="6"/>
    </row>
    <row r="250" spans="6:11" x14ac:dyDescent="0.3">
      <c r="F250" s="70"/>
      <c r="G250" s="6"/>
      <c r="H250" s="6"/>
      <c r="K250" s="6"/>
    </row>
    <row r="251" spans="6:11" x14ac:dyDescent="0.3">
      <c r="F251" s="70"/>
      <c r="G251" s="6"/>
      <c r="H251" s="6"/>
      <c r="K251" s="6"/>
    </row>
    <row r="252" spans="6:11" x14ac:dyDescent="0.3">
      <c r="F252" s="70"/>
      <c r="G252" s="6"/>
      <c r="H252" s="6"/>
      <c r="K252" s="6"/>
    </row>
    <row r="253" spans="6:11" x14ac:dyDescent="0.3">
      <c r="F253" s="70"/>
      <c r="G253" s="6"/>
      <c r="H253" s="6"/>
      <c r="K253" s="6"/>
    </row>
    <row r="254" spans="6:11" x14ac:dyDescent="0.3">
      <c r="F254" s="70"/>
      <c r="G254" s="6"/>
      <c r="H254" s="6"/>
      <c r="K254" s="6"/>
    </row>
    <row r="255" spans="6:11" x14ac:dyDescent="0.3">
      <c r="F255" s="70"/>
      <c r="G255" s="6"/>
      <c r="H255" s="6"/>
      <c r="K255" s="6"/>
    </row>
    <row r="256" spans="6:11" x14ac:dyDescent="0.3">
      <c r="F256" s="70"/>
      <c r="G256" s="6"/>
      <c r="H256" s="6"/>
      <c r="K256" s="6"/>
    </row>
    <row r="257" spans="2:13" x14ac:dyDescent="0.3">
      <c r="F257" s="70"/>
      <c r="G257" s="6"/>
      <c r="H257" s="6"/>
      <c r="K257" s="6"/>
    </row>
    <row r="258" spans="2:13" x14ac:dyDescent="0.3">
      <c r="F258" s="70"/>
      <c r="G258" s="6"/>
      <c r="H258" s="6"/>
      <c r="K258" s="6"/>
    </row>
    <row r="259" spans="2:13" x14ac:dyDescent="0.3">
      <c r="F259" s="70"/>
      <c r="G259" s="6"/>
      <c r="H259" s="6"/>
      <c r="K259" s="6"/>
    </row>
    <row r="260" spans="2:13" x14ac:dyDescent="0.3">
      <c r="F260" s="70"/>
      <c r="G260" s="6"/>
      <c r="H260" s="6"/>
      <c r="K260" s="6"/>
    </row>
    <row r="261" spans="2:13" ht="19.5" thickBot="1" x14ac:dyDescent="0.3">
      <c r="B261" s="39" t="s">
        <v>169</v>
      </c>
      <c r="C261" s="16" t="s">
        <v>171</v>
      </c>
      <c r="D261" s="20"/>
      <c r="E261" s="51">
        <v>10.695</v>
      </c>
      <c r="F261" s="62">
        <v>13</v>
      </c>
      <c r="G261" s="60">
        <f t="shared" ref="G261:G267" si="20">E261/(1-0.25)</f>
        <v>14.26</v>
      </c>
      <c r="H261" s="37">
        <f t="shared" ref="H261:H271" si="21">(F261-E261)/F261*(100)</f>
        <v>17.730769230769226</v>
      </c>
      <c r="I261" s="16">
        <v>10</v>
      </c>
      <c r="J261" s="20"/>
      <c r="K261" s="32"/>
      <c r="L261" s="20"/>
      <c r="M261" s="21">
        <f>I261-L261</f>
        <v>10</v>
      </c>
    </row>
    <row r="262" spans="2:13" ht="19.5" thickBot="1" x14ac:dyDescent="0.3">
      <c r="B262" s="3" t="s">
        <v>169</v>
      </c>
      <c r="C262" s="1" t="s">
        <v>170</v>
      </c>
      <c r="D262" s="12"/>
      <c r="E262" s="51">
        <v>14.592000000000001</v>
      </c>
      <c r="F262" s="63">
        <v>17</v>
      </c>
      <c r="G262" s="19">
        <f t="shared" si="20"/>
        <v>19.456</v>
      </c>
      <c r="H262" s="37">
        <f t="shared" si="21"/>
        <v>14.164705882352937</v>
      </c>
      <c r="I262" s="1">
        <v>10</v>
      </c>
      <c r="J262" s="12"/>
      <c r="K262" s="32"/>
      <c r="L262" s="12"/>
      <c r="M262" s="21">
        <f>I262-L262</f>
        <v>10</v>
      </c>
    </row>
    <row r="263" spans="2:13" ht="19.5" thickBot="1" x14ac:dyDescent="0.3">
      <c r="B263" s="3" t="s">
        <v>169</v>
      </c>
      <c r="C263" s="38" t="s">
        <v>179</v>
      </c>
      <c r="D263" s="12"/>
      <c r="E263" s="51">
        <v>17.66</v>
      </c>
      <c r="F263" s="63">
        <v>20</v>
      </c>
      <c r="G263" s="60">
        <f t="shared" si="20"/>
        <v>23.546666666666667</v>
      </c>
      <c r="H263" s="37">
        <f t="shared" si="21"/>
        <v>11.7</v>
      </c>
      <c r="I263" s="1">
        <v>10</v>
      </c>
      <c r="J263" s="12"/>
      <c r="K263" s="32"/>
      <c r="L263" s="12"/>
      <c r="M263" s="21">
        <f t="shared" ref="M263:M292" si="22">I263-L263</f>
        <v>10</v>
      </c>
    </row>
    <row r="264" spans="2:13" ht="19.5" thickBot="1" x14ac:dyDescent="0.3">
      <c r="B264" s="3" t="s">
        <v>169</v>
      </c>
      <c r="C264" s="1" t="s">
        <v>172</v>
      </c>
      <c r="D264" s="12"/>
      <c r="E264" s="51">
        <v>9.1189999999999998</v>
      </c>
      <c r="F264" s="63">
        <v>13</v>
      </c>
      <c r="G264" s="19">
        <f t="shared" si="20"/>
        <v>12.158666666666667</v>
      </c>
      <c r="H264" s="37">
        <f t="shared" si="21"/>
        <v>29.853846153846153</v>
      </c>
      <c r="I264" s="1">
        <v>20</v>
      </c>
      <c r="J264" s="12"/>
      <c r="K264" s="32"/>
      <c r="L264" s="12"/>
      <c r="M264" s="21">
        <f t="shared" si="22"/>
        <v>20</v>
      </c>
    </row>
    <row r="265" spans="2:13" ht="19.5" thickBot="1" x14ac:dyDescent="0.3">
      <c r="B265" s="3" t="s">
        <v>169</v>
      </c>
      <c r="C265" s="3" t="s">
        <v>173</v>
      </c>
      <c r="D265" s="21"/>
      <c r="E265" s="52">
        <v>6</v>
      </c>
      <c r="F265" s="65">
        <v>10</v>
      </c>
      <c r="G265" s="60">
        <f t="shared" si="20"/>
        <v>8</v>
      </c>
      <c r="H265" s="37">
        <f t="shared" si="21"/>
        <v>40</v>
      </c>
      <c r="I265" s="3">
        <v>3</v>
      </c>
      <c r="J265" s="21"/>
      <c r="K265" s="41"/>
      <c r="L265" s="21"/>
      <c r="M265" s="21">
        <f t="shared" si="22"/>
        <v>3</v>
      </c>
    </row>
    <row r="266" spans="2:13" ht="19.5" thickBot="1" x14ac:dyDescent="0.3">
      <c r="B266" s="40" t="s">
        <v>169</v>
      </c>
      <c r="C266" s="38" t="s">
        <v>174</v>
      </c>
      <c r="D266" s="36"/>
      <c r="E266" s="53">
        <f>E261/20</f>
        <v>0.53475000000000006</v>
      </c>
      <c r="F266" s="66">
        <v>0.8</v>
      </c>
      <c r="G266" s="19">
        <f t="shared" si="20"/>
        <v>0.71300000000000008</v>
      </c>
      <c r="H266" s="37">
        <f t="shared" si="21"/>
        <v>33.15625</v>
      </c>
      <c r="I266" s="38">
        <v>200</v>
      </c>
      <c r="J266" s="36"/>
      <c r="K266" s="33"/>
      <c r="L266" s="36">
        <f>19+7+2+2+1+2+6+1+3+2+1+3+2+2+2+3</f>
        <v>58</v>
      </c>
      <c r="M266" s="21">
        <f t="shared" si="22"/>
        <v>142</v>
      </c>
    </row>
    <row r="267" spans="2:13" ht="19.5" thickBot="1" x14ac:dyDescent="0.3">
      <c r="B267" s="29" t="s">
        <v>169</v>
      </c>
      <c r="C267" s="25" t="s">
        <v>175</v>
      </c>
      <c r="D267" s="24"/>
      <c r="E267" s="53">
        <f>E262/20</f>
        <v>0.72960000000000003</v>
      </c>
      <c r="F267" s="67">
        <v>1</v>
      </c>
      <c r="G267" s="60">
        <f t="shared" si="20"/>
        <v>0.9728</v>
      </c>
      <c r="H267" s="37">
        <f t="shared" si="21"/>
        <v>27.04</v>
      </c>
      <c r="I267" s="38">
        <v>200</v>
      </c>
      <c r="J267" s="24"/>
      <c r="K267" s="33"/>
      <c r="L267" s="24">
        <v>6</v>
      </c>
      <c r="M267" s="21">
        <f t="shared" si="22"/>
        <v>194</v>
      </c>
    </row>
    <row r="268" spans="2:13" ht="19.5" thickBot="1" x14ac:dyDescent="0.3">
      <c r="B268" s="29" t="s">
        <v>169</v>
      </c>
      <c r="C268" s="25" t="s">
        <v>231</v>
      </c>
      <c r="D268" s="24"/>
      <c r="E268" s="53"/>
      <c r="F268" s="67">
        <v>1</v>
      </c>
      <c r="G268" s="60"/>
      <c r="H268" s="37"/>
      <c r="I268" s="38"/>
      <c r="J268" s="24"/>
      <c r="K268" s="33"/>
      <c r="L268" s="24">
        <v>7</v>
      </c>
      <c r="M268" s="21"/>
    </row>
    <row r="269" spans="2:13" ht="19.5" thickBot="1" x14ac:dyDescent="0.3">
      <c r="B269" s="29" t="s">
        <v>169</v>
      </c>
      <c r="C269" s="25" t="s">
        <v>176</v>
      </c>
      <c r="D269" s="24"/>
      <c r="E269" s="53">
        <f>E264/10</f>
        <v>0.91189999999999993</v>
      </c>
      <c r="F269" s="67">
        <v>1.3</v>
      </c>
      <c r="G269" s="19">
        <f t="shared" ref="G269:G283" si="23">E269/(1-0.25)</f>
        <v>1.2158666666666667</v>
      </c>
      <c r="H269" s="37">
        <f t="shared" si="21"/>
        <v>29.853846153846163</v>
      </c>
      <c r="I269" s="38">
        <v>200</v>
      </c>
      <c r="J269" s="24"/>
      <c r="K269" s="33"/>
      <c r="L269" s="24">
        <v>11</v>
      </c>
      <c r="M269" s="21">
        <f t="shared" si="22"/>
        <v>189</v>
      </c>
    </row>
    <row r="270" spans="2:13" ht="19.5" thickBot="1" x14ac:dyDescent="0.3">
      <c r="B270" s="29" t="s">
        <v>169</v>
      </c>
      <c r="C270" s="25" t="s">
        <v>177</v>
      </c>
      <c r="D270" s="24"/>
      <c r="E270" s="53">
        <f>E265/10</f>
        <v>0.6</v>
      </c>
      <c r="F270" s="67">
        <v>1</v>
      </c>
      <c r="G270" s="60">
        <f t="shared" si="23"/>
        <v>0.79999999999999993</v>
      </c>
      <c r="H270" s="37">
        <f t="shared" si="21"/>
        <v>40</v>
      </c>
      <c r="I270" s="38">
        <v>30</v>
      </c>
      <c r="J270" s="24"/>
      <c r="K270" s="33"/>
      <c r="L270" s="24">
        <v>4</v>
      </c>
      <c r="M270" s="21">
        <f t="shared" si="22"/>
        <v>26</v>
      </c>
    </row>
    <row r="271" spans="2:13" ht="19.5" thickBot="1" x14ac:dyDescent="0.3">
      <c r="B271" s="29" t="s">
        <v>169</v>
      </c>
      <c r="C271" s="40" t="s">
        <v>178</v>
      </c>
      <c r="D271" s="30"/>
      <c r="E271" s="54">
        <f>E263/20</f>
        <v>0.88300000000000001</v>
      </c>
      <c r="F271" s="68">
        <v>1</v>
      </c>
      <c r="G271" s="19">
        <f t="shared" si="23"/>
        <v>1.1773333333333333</v>
      </c>
      <c r="H271" s="37">
        <f t="shared" si="21"/>
        <v>11.7</v>
      </c>
      <c r="I271" s="40">
        <v>200</v>
      </c>
      <c r="J271" s="44"/>
      <c r="K271" s="45"/>
      <c r="L271" s="44">
        <f>70+2+4+1+1+8+1+1+2+2+1+1+2+1+1+1+2+1+7+3+1+2+15+3+4</f>
        <v>137</v>
      </c>
      <c r="M271" s="21">
        <f t="shared" si="22"/>
        <v>63</v>
      </c>
    </row>
    <row r="272" spans="2:13" ht="19.5" thickBot="1" x14ac:dyDescent="0.3">
      <c r="B272" s="29" t="s">
        <v>169</v>
      </c>
      <c r="C272" s="38" t="s">
        <v>188</v>
      </c>
      <c r="D272" s="36"/>
      <c r="E272" s="53">
        <v>0.17</v>
      </c>
      <c r="F272" s="66">
        <v>0.5</v>
      </c>
      <c r="G272" s="60">
        <f t="shared" si="23"/>
        <v>0.22666666666666668</v>
      </c>
      <c r="H272" s="37">
        <f>(F272-E272)/F272*(100)</f>
        <v>65.999999999999986</v>
      </c>
      <c r="I272" s="38">
        <v>600</v>
      </c>
      <c r="J272" s="36"/>
      <c r="K272" s="33"/>
      <c r="L272" s="36">
        <f>4+11</f>
        <v>15</v>
      </c>
      <c r="M272" s="21">
        <f t="shared" si="22"/>
        <v>585</v>
      </c>
    </row>
    <row r="273" spans="2:13" ht="19.5" thickBot="1" x14ac:dyDescent="0.3">
      <c r="B273" s="29" t="s">
        <v>169</v>
      </c>
      <c r="C273" s="38" t="s">
        <v>189</v>
      </c>
      <c r="D273" s="36"/>
      <c r="E273" s="53">
        <v>0.13</v>
      </c>
      <c r="F273" s="66">
        <v>0.5</v>
      </c>
      <c r="G273" s="19">
        <f t="shared" si="23"/>
        <v>0.17333333333333334</v>
      </c>
      <c r="H273" s="37">
        <f t="shared" ref="H273:H292" si="24">(F273-E273)/F273*(100)</f>
        <v>74</v>
      </c>
      <c r="I273" s="38">
        <v>200</v>
      </c>
      <c r="J273" s="36"/>
      <c r="K273" s="33"/>
      <c r="L273" s="36">
        <f>9+2+1</f>
        <v>12</v>
      </c>
      <c r="M273" s="21">
        <f t="shared" si="22"/>
        <v>188</v>
      </c>
    </row>
    <row r="274" spans="2:13" ht="19.5" thickBot="1" x14ac:dyDescent="0.3">
      <c r="B274" s="29" t="s">
        <v>169</v>
      </c>
      <c r="C274" s="38" t="s">
        <v>190</v>
      </c>
      <c r="D274" s="36"/>
      <c r="E274" s="53">
        <v>0.23</v>
      </c>
      <c r="F274" s="66">
        <v>0.5</v>
      </c>
      <c r="G274" s="60">
        <f t="shared" si="23"/>
        <v>0.3066666666666667</v>
      </c>
      <c r="H274" s="37">
        <f t="shared" si="24"/>
        <v>54</v>
      </c>
      <c r="I274" s="38">
        <v>200</v>
      </c>
      <c r="J274" s="36"/>
      <c r="K274" s="33"/>
      <c r="L274" s="36">
        <f>120+60</f>
        <v>180</v>
      </c>
      <c r="M274" s="21">
        <f t="shared" si="22"/>
        <v>20</v>
      </c>
    </row>
    <row r="275" spans="2:13" ht="19.5" thickBot="1" x14ac:dyDescent="0.3">
      <c r="B275" s="29" t="s">
        <v>169</v>
      </c>
      <c r="C275" s="38" t="s">
        <v>191</v>
      </c>
      <c r="D275" s="36"/>
      <c r="E275" s="53">
        <v>0.28999999999999998</v>
      </c>
      <c r="F275" s="66">
        <v>0.5</v>
      </c>
      <c r="G275" s="19">
        <f t="shared" si="23"/>
        <v>0.38666666666666666</v>
      </c>
      <c r="H275" s="37">
        <f t="shared" si="24"/>
        <v>42.000000000000007</v>
      </c>
      <c r="I275" s="38">
        <v>200</v>
      </c>
      <c r="J275" s="36"/>
      <c r="K275" s="33"/>
      <c r="L275" s="36">
        <f>100+28+20</f>
        <v>148</v>
      </c>
      <c r="M275" s="21">
        <f t="shared" si="22"/>
        <v>52</v>
      </c>
    </row>
    <row r="276" spans="2:13" ht="19.5" thickBot="1" x14ac:dyDescent="0.3">
      <c r="B276" s="29" t="s">
        <v>169</v>
      </c>
      <c r="C276" s="38" t="s">
        <v>192</v>
      </c>
      <c r="D276" s="36"/>
      <c r="E276" s="55">
        <v>0.34</v>
      </c>
      <c r="F276" s="66">
        <v>0.5</v>
      </c>
      <c r="G276" s="60">
        <f t="shared" si="23"/>
        <v>0.45333333333333337</v>
      </c>
      <c r="H276" s="37">
        <f t="shared" si="24"/>
        <v>31.999999999999996</v>
      </c>
      <c r="I276" s="38">
        <v>200</v>
      </c>
      <c r="J276" s="36"/>
      <c r="K276" s="37"/>
      <c r="L276" s="82">
        <f>173+12</f>
        <v>185</v>
      </c>
      <c r="M276" s="21">
        <f t="shared" si="22"/>
        <v>15</v>
      </c>
    </row>
    <row r="277" spans="2:13" ht="19.5" thickBot="1" x14ac:dyDescent="0.3">
      <c r="B277" s="29" t="s">
        <v>169</v>
      </c>
      <c r="C277" s="29" t="s">
        <v>193</v>
      </c>
      <c r="D277" s="30"/>
      <c r="E277" s="56">
        <v>0.36</v>
      </c>
      <c r="F277" s="69">
        <v>0.5</v>
      </c>
      <c r="G277" s="19">
        <f t="shared" si="23"/>
        <v>0.48</v>
      </c>
      <c r="H277" s="37">
        <f t="shared" si="24"/>
        <v>28.000000000000004</v>
      </c>
      <c r="I277" s="29">
        <v>400</v>
      </c>
      <c r="J277" s="30"/>
      <c r="K277" s="31"/>
      <c r="L277" s="30"/>
      <c r="M277" s="21">
        <f t="shared" si="22"/>
        <v>400</v>
      </c>
    </row>
    <row r="278" spans="2:13" ht="19.5" thickBot="1" x14ac:dyDescent="0.3">
      <c r="B278" s="29" t="s">
        <v>169</v>
      </c>
      <c r="C278" s="38" t="s">
        <v>187</v>
      </c>
      <c r="D278" s="36">
        <f>3.4/2</f>
        <v>1.7</v>
      </c>
      <c r="E278" s="53">
        <v>3.4</v>
      </c>
      <c r="F278" s="66">
        <v>7</v>
      </c>
      <c r="G278" s="60">
        <f t="shared" si="23"/>
        <v>4.5333333333333332</v>
      </c>
      <c r="H278" s="37">
        <f t="shared" si="24"/>
        <v>51.428571428571438</v>
      </c>
      <c r="I278" s="38">
        <v>30</v>
      </c>
      <c r="J278" s="36"/>
      <c r="K278" s="33"/>
      <c r="L278" s="36">
        <v>8</v>
      </c>
      <c r="M278" s="21">
        <f t="shared" si="22"/>
        <v>22</v>
      </c>
    </row>
    <row r="279" spans="2:13" ht="19.5" thickBot="1" x14ac:dyDescent="0.3">
      <c r="B279" s="29" t="s">
        <v>169</v>
      </c>
      <c r="C279" s="38" t="s">
        <v>182</v>
      </c>
      <c r="D279" s="36"/>
      <c r="E279" s="53">
        <v>2.66</v>
      </c>
      <c r="F279" s="66">
        <v>7</v>
      </c>
      <c r="G279" s="19">
        <f t="shared" si="23"/>
        <v>3.5466666666666669</v>
      </c>
      <c r="H279" s="37">
        <f t="shared" si="24"/>
        <v>62</v>
      </c>
      <c r="I279" s="38">
        <v>10</v>
      </c>
      <c r="J279" s="36"/>
      <c r="K279" s="33"/>
      <c r="L279" s="36">
        <v>1</v>
      </c>
      <c r="M279" s="21">
        <f t="shared" si="22"/>
        <v>9</v>
      </c>
    </row>
    <row r="280" spans="2:13" ht="19.5" thickBot="1" x14ac:dyDescent="0.3">
      <c r="B280" s="29" t="s">
        <v>169</v>
      </c>
      <c r="C280" s="38" t="s">
        <v>183</v>
      </c>
      <c r="D280" s="36"/>
      <c r="E280" s="53">
        <v>4.5599999999999996</v>
      </c>
      <c r="F280" s="66">
        <v>10</v>
      </c>
      <c r="G280" s="60">
        <f t="shared" si="23"/>
        <v>6.0799999999999992</v>
      </c>
      <c r="H280" s="37">
        <f t="shared" si="24"/>
        <v>54.400000000000006</v>
      </c>
      <c r="I280" s="38">
        <v>10</v>
      </c>
      <c r="J280" s="36"/>
      <c r="K280" s="33"/>
      <c r="L280" s="36"/>
      <c r="M280" s="21">
        <f t="shared" si="22"/>
        <v>10</v>
      </c>
    </row>
    <row r="281" spans="2:13" ht="19.5" thickBot="1" x14ac:dyDescent="0.3">
      <c r="B281" s="29" t="s">
        <v>169</v>
      </c>
      <c r="C281" s="38" t="s">
        <v>184</v>
      </c>
      <c r="D281" s="36"/>
      <c r="E281" s="53">
        <v>5.7</v>
      </c>
      <c r="F281" s="66">
        <v>10</v>
      </c>
      <c r="G281" s="19">
        <f t="shared" si="23"/>
        <v>7.6000000000000005</v>
      </c>
      <c r="H281" s="37">
        <f t="shared" si="24"/>
        <v>43</v>
      </c>
      <c r="I281" s="38">
        <v>10</v>
      </c>
      <c r="J281" s="36"/>
      <c r="K281" s="33"/>
      <c r="L281" s="36">
        <v>1</v>
      </c>
      <c r="M281" s="21">
        <f t="shared" si="22"/>
        <v>9</v>
      </c>
    </row>
    <row r="282" spans="2:13" ht="19.5" thickBot="1" x14ac:dyDescent="0.3">
      <c r="B282" s="29" t="s">
        <v>169</v>
      </c>
      <c r="C282" s="38" t="s">
        <v>185</v>
      </c>
      <c r="D282" s="36"/>
      <c r="E282" s="53">
        <v>6.84</v>
      </c>
      <c r="F282" s="66">
        <v>10</v>
      </c>
      <c r="G282" s="60">
        <f t="shared" si="23"/>
        <v>9.1199999999999992</v>
      </c>
      <c r="H282" s="37">
        <f t="shared" si="24"/>
        <v>31.6</v>
      </c>
      <c r="I282" s="38">
        <v>10</v>
      </c>
      <c r="J282" s="36"/>
      <c r="K282" s="33"/>
      <c r="L282" s="36"/>
      <c r="M282" s="21">
        <f t="shared" si="22"/>
        <v>10</v>
      </c>
    </row>
    <row r="283" spans="2:13" ht="19.5" thickBot="1" x14ac:dyDescent="0.3">
      <c r="B283" s="29" t="s">
        <v>169</v>
      </c>
      <c r="C283" s="38" t="s">
        <v>186</v>
      </c>
      <c r="D283" s="36"/>
      <c r="E283" s="53">
        <v>3.61</v>
      </c>
      <c r="F283" s="66">
        <v>5</v>
      </c>
      <c r="G283" s="19">
        <f t="shared" si="23"/>
        <v>4.8133333333333335</v>
      </c>
      <c r="H283" s="37">
        <f t="shared" si="24"/>
        <v>27.800000000000004</v>
      </c>
      <c r="I283" s="38">
        <v>40</v>
      </c>
      <c r="J283" s="36"/>
      <c r="K283" s="33"/>
      <c r="L283" s="36"/>
      <c r="M283" s="21">
        <f t="shared" si="22"/>
        <v>40</v>
      </c>
    </row>
    <row r="284" spans="2:13" ht="19.5" thickBot="1" x14ac:dyDescent="0.3">
      <c r="B284" s="29"/>
      <c r="C284" s="38" t="s">
        <v>233</v>
      </c>
      <c r="D284" s="36"/>
      <c r="E284" s="53"/>
      <c r="F284" s="66">
        <v>1.5</v>
      </c>
      <c r="G284" s="60"/>
      <c r="H284" s="37"/>
      <c r="I284" s="38"/>
      <c r="J284" s="36"/>
      <c r="K284" s="33"/>
      <c r="L284" s="36">
        <v>9</v>
      </c>
      <c r="M284" s="21"/>
    </row>
    <row r="285" spans="2:13" ht="19.5" thickBot="1" x14ac:dyDescent="0.3">
      <c r="B285" s="29" t="s">
        <v>169</v>
      </c>
      <c r="C285" s="38" t="s">
        <v>232</v>
      </c>
      <c r="D285" s="36"/>
      <c r="E285" s="53"/>
      <c r="F285" s="66">
        <v>1.5</v>
      </c>
      <c r="G285" s="60">
        <f t="shared" ref="G285:G292" si="25">E285/(1-0.25)</f>
        <v>0</v>
      </c>
      <c r="H285" s="37">
        <f t="shared" si="24"/>
        <v>100</v>
      </c>
      <c r="I285" s="38">
        <v>200</v>
      </c>
      <c r="J285" s="36"/>
      <c r="K285" s="33"/>
      <c r="L285" s="36">
        <f>7+3+2+2+6+2+2+2+4+1+2+4+4+2</f>
        <v>43</v>
      </c>
      <c r="M285" s="21">
        <f t="shared" si="22"/>
        <v>157</v>
      </c>
    </row>
    <row r="286" spans="2:13" ht="19.5" thickBot="1" x14ac:dyDescent="0.3">
      <c r="B286" s="29" t="s">
        <v>169</v>
      </c>
      <c r="C286" s="38" t="s">
        <v>195</v>
      </c>
      <c r="D286" s="36"/>
      <c r="E286" s="53"/>
      <c r="F286" s="66">
        <v>12</v>
      </c>
      <c r="G286" s="19">
        <f t="shared" si="25"/>
        <v>0</v>
      </c>
      <c r="H286" s="37">
        <f t="shared" si="24"/>
        <v>100</v>
      </c>
      <c r="I286" s="38">
        <v>1000</v>
      </c>
      <c r="J286" s="36"/>
      <c r="K286" s="33"/>
      <c r="L286" s="36">
        <v>2</v>
      </c>
      <c r="M286" s="21">
        <f t="shared" si="22"/>
        <v>998</v>
      </c>
    </row>
    <row r="287" spans="2:13" ht="19.5" thickBot="1" x14ac:dyDescent="0.3">
      <c r="B287" s="29" t="s">
        <v>167</v>
      </c>
      <c r="C287" s="38" t="s">
        <v>143</v>
      </c>
      <c r="D287" s="27"/>
      <c r="E287" s="57">
        <v>14.71</v>
      </c>
      <c r="F287" s="66">
        <v>18</v>
      </c>
      <c r="G287" s="60">
        <f t="shared" si="25"/>
        <v>19.613333333333333</v>
      </c>
      <c r="H287" s="37">
        <f t="shared" si="24"/>
        <v>18.277777777777775</v>
      </c>
      <c r="I287" s="38">
        <v>20000</v>
      </c>
      <c r="J287" s="36"/>
      <c r="K287" s="28"/>
      <c r="L287" s="36">
        <v>0</v>
      </c>
      <c r="M287" s="21">
        <f t="shared" si="22"/>
        <v>20000</v>
      </c>
    </row>
    <row r="288" spans="2:13" ht="19.5" thickBot="1" x14ac:dyDescent="0.3">
      <c r="B288" s="29" t="s">
        <v>167</v>
      </c>
      <c r="C288" s="25" t="s">
        <v>144</v>
      </c>
      <c r="D288" s="24"/>
      <c r="E288" s="58">
        <v>24.31</v>
      </c>
      <c r="F288" s="67">
        <v>30</v>
      </c>
      <c r="G288" s="19">
        <f t="shared" si="25"/>
        <v>32.413333333333334</v>
      </c>
      <c r="H288" s="37">
        <f t="shared" si="24"/>
        <v>18.966666666666672</v>
      </c>
      <c r="I288" s="38">
        <v>20000</v>
      </c>
      <c r="J288" s="24"/>
      <c r="K288" s="26"/>
      <c r="L288" s="24">
        <v>0</v>
      </c>
      <c r="M288" s="21">
        <f t="shared" si="22"/>
        <v>20000</v>
      </c>
    </row>
    <row r="289" spans="2:13" ht="19.5" thickBot="1" x14ac:dyDescent="0.3">
      <c r="B289" s="29" t="s">
        <v>167</v>
      </c>
      <c r="C289" s="25" t="s">
        <v>152</v>
      </c>
      <c r="D289" s="24"/>
      <c r="E289" s="58">
        <v>21.86</v>
      </c>
      <c r="F289" s="67">
        <v>30</v>
      </c>
      <c r="G289" s="60">
        <f t="shared" si="25"/>
        <v>29.146666666666665</v>
      </c>
      <c r="H289" s="37">
        <f t="shared" si="24"/>
        <v>27.133333333333336</v>
      </c>
      <c r="I289" s="38">
        <v>20000</v>
      </c>
      <c r="J289" s="24"/>
      <c r="K289" s="26"/>
      <c r="L289" s="24">
        <v>0</v>
      </c>
      <c r="M289" s="21">
        <f t="shared" si="22"/>
        <v>20000</v>
      </c>
    </row>
    <row r="290" spans="2:13" ht="19.5" thickBot="1" x14ac:dyDescent="0.3">
      <c r="B290" s="29" t="s">
        <v>167</v>
      </c>
      <c r="C290" s="25" t="s">
        <v>156</v>
      </c>
      <c r="D290" s="24"/>
      <c r="E290" s="58">
        <v>23.23</v>
      </c>
      <c r="F290" s="67">
        <v>27</v>
      </c>
      <c r="G290" s="19">
        <f t="shared" si="25"/>
        <v>30.973333333333333</v>
      </c>
      <c r="H290" s="37">
        <f t="shared" si="24"/>
        <v>13.96296296296296</v>
      </c>
      <c r="I290" s="38">
        <v>20000</v>
      </c>
      <c r="J290" s="24"/>
      <c r="K290" s="26"/>
      <c r="L290" s="24">
        <v>1</v>
      </c>
      <c r="M290" s="21">
        <f t="shared" si="22"/>
        <v>19999</v>
      </c>
    </row>
    <row r="291" spans="2:13" ht="19.5" thickBot="1" x14ac:dyDescent="0.3">
      <c r="B291" s="29" t="s">
        <v>167</v>
      </c>
      <c r="C291" s="25" t="s">
        <v>163</v>
      </c>
      <c r="D291" s="24"/>
      <c r="E291" s="58">
        <v>17.84</v>
      </c>
      <c r="F291" s="67">
        <v>21</v>
      </c>
      <c r="G291" s="60">
        <f t="shared" si="25"/>
        <v>23.786666666666665</v>
      </c>
      <c r="H291" s="37">
        <f t="shared" si="24"/>
        <v>15.047619047619049</v>
      </c>
      <c r="I291" s="38">
        <v>20000</v>
      </c>
      <c r="J291" s="24"/>
      <c r="K291" s="26"/>
      <c r="L291" s="24">
        <v>0</v>
      </c>
      <c r="M291" s="21">
        <f t="shared" si="22"/>
        <v>20000</v>
      </c>
    </row>
    <row r="292" spans="2:13" ht="19.5" thickBot="1" x14ac:dyDescent="0.3">
      <c r="B292" s="29" t="s">
        <v>167</v>
      </c>
      <c r="C292" s="29" t="s">
        <v>164</v>
      </c>
      <c r="D292" s="30"/>
      <c r="E292" s="56">
        <v>20.51</v>
      </c>
      <c r="F292" s="69">
        <v>24</v>
      </c>
      <c r="G292" s="19">
        <f t="shared" si="25"/>
        <v>27.346666666666668</v>
      </c>
      <c r="H292" s="37">
        <f t="shared" si="24"/>
        <v>14.541666666666661</v>
      </c>
      <c r="I292" s="38">
        <v>20000</v>
      </c>
      <c r="J292" s="30"/>
      <c r="K292" s="31"/>
      <c r="L292" s="30">
        <v>0</v>
      </c>
      <c r="M292" s="21">
        <f t="shared" si="22"/>
        <v>20000</v>
      </c>
    </row>
    <row r="293" spans="2:13" ht="19.5" thickBot="1" x14ac:dyDescent="0.35">
      <c r="B293" s="192" t="s">
        <v>136</v>
      </c>
      <c r="C293" s="193"/>
      <c r="D293" s="194"/>
      <c r="E293" s="49">
        <f>SUM(E4:E122)</f>
        <v>3564.2950000000023</v>
      </c>
      <c r="F293" s="11">
        <f>SUM(F4:F292)</f>
        <v>5902.8669406392673</v>
      </c>
      <c r="G293" s="9">
        <f>SUM(G4:G122)</f>
        <v>4703.2933333333376</v>
      </c>
      <c r="H293" s="9"/>
      <c r="I293" s="5"/>
      <c r="J293" s="5"/>
      <c r="K293" s="5">
        <f>SUM(K4:K122)</f>
        <v>45480.342465753449</v>
      </c>
    </row>
    <row r="294" spans="2:13" x14ac:dyDescent="0.3">
      <c r="F294" s="70"/>
      <c r="G294" s="6"/>
      <c r="H294" s="6"/>
      <c r="K294" s="6"/>
    </row>
    <row r="295" spans="2:13" x14ac:dyDescent="0.3">
      <c r="F295" s="70"/>
      <c r="G295" s="6"/>
      <c r="H295" s="6"/>
      <c r="K295" s="6"/>
    </row>
    <row r="296" spans="2:13" x14ac:dyDescent="0.3">
      <c r="F296" s="70"/>
      <c r="G296" s="6"/>
      <c r="H296" s="6"/>
      <c r="K296" s="6"/>
    </row>
    <row r="297" spans="2:13" x14ac:dyDescent="0.3">
      <c r="F297" s="70"/>
      <c r="G297" s="6"/>
      <c r="H297" s="6"/>
      <c r="K297" s="6"/>
    </row>
    <row r="298" spans="2:13" x14ac:dyDescent="0.3">
      <c r="F298" s="70"/>
      <c r="G298" s="6"/>
      <c r="H298" s="6"/>
      <c r="K298" s="6"/>
    </row>
    <row r="299" spans="2:13" x14ac:dyDescent="0.3">
      <c r="F299" s="70"/>
      <c r="G299" s="6"/>
      <c r="H299" s="6"/>
      <c r="K299" s="6"/>
    </row>
    <row r="300" spans="2:13" x14ac:dyDescent="0.3">
      <c r="F300" s="70"/>
      <c r="G300" s="6"/>
      <c r="H300" s="6"/>
      <c r="K300" s="6"/>
    </row>
    <row r="301" spans="2:13" x14ac:dyDescent="0.3">
      <c r="F301" s="70"/>
      <c r="G301" s="6"/>
      <c r="H301" s="6"/>
      <c r="K301" s="6"/>
    </row>
    <row r="302" spans="2:13" x14ac:dyDescent="0.3">
      <c r="F302" s="70"/>
      <c r="G302" s="6"/>
      <c r="H302" s="6"/>
      <c r="K302" s="6"/>
    </row>
    <row r="303" spans="2:13" x14ac:dyDescent="0.3">
      <c r="F303" s="70"/>
      <c r="G303" s="6"/>
      <c r="H303" s="6"/>
      <c r="K303" s="6"/>
    </row>
    <row r="304" spans="2:13" x14ac:dyDescent="0.3">
      <c r="F304" s="70"/>
      <c r="G304" s="6"/>
      <c r="H304" s="6"/>
      <c r="K304" s="6"/>
    </row>
    <row r="305" spans="6:6" x14ac:dyDescent="0.3">
      <c r="F305" s="71"/>
    </row>
    <row r="306" spans="6:6" x14ac:dyDescent="0.3">
      <c r="F306" s="71"/>
    </row>
    <row r="307" spans="6:6" x14ac:dyDescent="0.3">
      <c r="F307" s="71"/>
    </row>
    <row r="308" spans="6:6" x14ac:dyDescent="0.3">
      <c r="F308" s="71"/>
    </row>
    <row r="309" spans="6:6" x14ac:dyDescent="0.3">
      <c r="F309" s="71"/>
    </row>
    <row r="310" spans="6:6" x14ac:dyDescent="0.3">
      <c r="F310" s="71"/>
    </row>
    <row r="311" spans="6:6" x14ac:dyDescent="0.3">
      <c r="F311" s="71"/>
    </row>
    <row r="312" spans="6:6" x14ac:dyDescent="0.3">
      <c r="F312" s="71"/>
    </row>
    <row r="313" spans="6:6" x14ac:dyDescent="0.3">
      <c r="F313" s="71"/>
    </row>
    <row r="314" spans="6:6" x14ac:dyDescent="0.3">
      <c r="F314" s="71"/>
    </row>
    <row r="315" spans="6:6" x14ac:dyDescent="0.3">
      <c r="F315" s="71"/>
    </row>
    <row r="316" spans="6:6" x14ac:dyDescent="0.3">
      <c r="F316" s="71"/>
    </row>
    <row r="317" spans="6:6" x14ac:dyDescent="0.3">
      <c r="F317" s="71"/>
    </row>
    <row r="318" spans="6:6" x14ac:dyDescent="0.3">
      <c r="F318" s="71"/>
    </row>
  </sheetData>
  <autoFilter ref="A3:M229"/>
  <mergeCells count="4">
    <mergeCell ref="A123:A135"/>
    <mergeCell ref="A136:A146"/>
    <mergeCell ref="A147:A166"/>
    <mergeCell ref="B293:D29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Hoja6</vt:lpstr>
      <vt:lpstr>Hoja6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</dc:creator>
  <cp:lastModifiedBy>USUARIO</cp:lastModifiedBy>
  <dcterms:created xsi:type="dcterms:W3CDTF">2022-03-07T18:36:00Z</dcterms:created>
  <dcterms:modified xsi:type="dcterms:W3CDTF">2023-04-01T20:59:04Z</dcterms:modified>
</cp:coreProperties>
</file>